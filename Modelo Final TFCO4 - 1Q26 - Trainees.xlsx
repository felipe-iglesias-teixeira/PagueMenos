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A9B4EC3B84D0833/Documentos/"/>
    </mc:Choice>
  </mc:AlternateContent>
  <xr:revisionPtr revIDLastSave="966" documentId="8_{AEF69533-9986-47E6-9CFF-FF407CD8B8FE}" xr6:coauthVersionLast="47" xr6:coauthVersionMax="47" xr10:uidLastSave="{31ED5A21-FD74-41A7-8C10-F774EB1B1E89}"/>
  <bookViews>
    <workbookView xWindow="-120" yWindow="-120" windowWidth="29040" windowHeight="15720" xr2:uid="{A8363984-670A-4BF0-9073-1ECFB6BBFBA5}"/>
  </bookViews>
  <sheets>
    <sheet name="DCF" sheetId="4" r:id="rId1"/>
    <sheet name="Modelo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__xlfn.RTD" hidden="1">#NAME?</definedName>
    <definedName name="__1__123Graph_ACHART_1" hidden="1">[1]Livestock2005!#REF!</definedName>
    <definedName name="__10__123Graph_ACHART_119" hidden="1">[1]Livestock2005!#REF!</definedName>
    <definedName name="__100__123Graph_BCHART_102" hidden="1">[1]Livestock2005!#REF!</definedName>
    <definedName name="__101__123Graph_BCHART_105" hidden="1">[1]Livestock2005!#REF!</definedName>
    <definedName name="__102__123Graph_BCHART_109" hidden="1">[1]Livestock2005!#REF!</definedName>
    <definedName name="__103__123Graph_BCHART_115" hidden="1">[1]Livestock2005!#REF!</definedName>
    <definedName name="__104__123Graph_BCHART_118" hidden="1">[1]Livestock2005!#REF!</definedName>
    <definedName name="__105__123Graph_BCHART_12" hidden="1">[1]Livestock2005!#REF!</definedName>
    <definedName name="__106__123Graph_BCHART_122" hidden="1">[1]Livestock2005!#REF!</definedName>
    <definedName name="__107__123Graph_BCHART_129" hidden="1">[1]Livestock2005!#REF!</definedName>
    <definedName name="__108__123Graph_BCHART_13" hidden="1">[1]Livestock2005!#REF!</definedName>
    <definedName name="__109__123Graph_BCHART_130" hidden="1">[1]Livestock2005!#REF!</definedName>
    <definedName name="__11__123Graph_ACHART_12" hidden="1">[1]Livestock2005!#REF!</definedName>
    <definedName name="__110__123Graph_BCHART_131" hidden="1">[1]Livestock2005!#REF!</definedName>
    <definedName name="__111__123Graph_BCHART_132" hidden="1">[1]Livestock2005!#REF!</definedName>
    <definedName name="__112__123Graph_BCHART_133" hidden="1">[1]Livestock2005!#REF!</definedName>
    <definedName name="__113__123Graph_BCHART_134" hidden="1">[1]Livestock2005!#REF!</definedName>
    <definedName name="__114__123Graph_BCHART_135" hidden="1">[1]Livestock2005!#REF!</definedName>
    <definedName name="__115__123Graph_BCHART_136" hidden="1">[1]Livestock2005!#REF!</definedName>
    <definedName name="__116__123Graph_BCHART_137" hidden="1">[1]Livestock2005!#REF!</definedName>
    <definedName name="__117__123Graph_BCHART_138" hidden="1">[1]Livestock2005!#REF!</definedName>
    <definedName name="__118__123Graph_BCHART_139" hidden="1">[1]Livestock2005!#REF!</definedName>
    <definedName name="__119__123Graph_BCHART_14" hidden="1">[1]Livestock2005!#REF!</definedName>
    <definedName name="__12__123Graph_ACHART_123" hidden="1">[1]Livestock2005!#REF!</definedName>
    <definedName name="__120__123Graph_BCHART_140" hidden="1">[1]Livestock2005!#REF!</definedName>
    <definedName name="__121__123Graph_BCHART_141" hidden="1">[1]Livestock2005!#REF!</definedName>
    <definedName name="__122__123Graph_BCHART_142" hidden="1">[1]Livestock2005!#REF!</definedName>
    <definedName name="__123__123Graph_BCHART_143" hidden="1">[1]Livestock2005!#REF!</definedName>
    <definedName name="__123Graph_A" hidden="1">[2]Resultado!#REF!</definedName>
    <definedName name="__123Graph_AVIEW" hidden="1">'[3]USDA-POULTRY'!$E$38:$O$38</definedName>
    <definedName name="__123Graph_B" hidden="1">[4]Balanço!#REF!</definedName>
    <definedName name="__123Graph_BVIEW" hidden="1">'[3]USDA-POULTRY'!$E$25:$O$25</definedName>
    <definedName name="__123Graph_C" hidden="1">[4]Balanço!#REF!</definedName>
    <definedName name="__123Graph_D" hidden="1">[2]Resultado!#REF!</definedName>
    <definedName name="__123Graph_E" hidden="1">[5]cathayforecasts!#REF!</definedName>
    <definedName name="__123Graph_F" hidden="1">[5]cathayforecasts!#REF!</definedName>
    <definedName name="__123Graph_X" hidden="1">[2]Resultado!#REF!</definedName>
    <definedName name="__123Graph_XVIEW" hidden="1">'[3]USDA-POULTRY'!$E$3:$O$3</definedName>
    <definedName name="__124__123Graph_BCHART_144" hidden="1">[1]Livestock2005!#REF!</definedName>
    <definedName name="__125__123Graph_BCHART_145" hidden="1">[1]Livestock2005!#REF!</definedName>
    <definedName name="__126__123Graph_BCHART_146" hidden="1">[1]Livestock2005!#REF!</definedName>
    <definedName name="__127__123Graph_BCHART_147" hidden="1">[1]Livestock2005!#REF!</definedName>
    <definedName name="__128__123Graph_BCHART_148" hidden="1">[1]Livestock2005!#REF!</definedName>
    <definedName name="__129__123Graph_BCHART_149" hidden="1">[1]Livestock2005!#REF!</definedName>
    <definedName name="__13__123Graph_ACHART_124" hidden="1">[1]Livestock2005!#REF!</definedName>
    <definedName name="__130__123Graph_BCHART_15" hidden="1">[1]Livestock2005!#REF!</definedName>
    <definedName name="__131__123Graph_BCHART_150" hidden="1">[1]Livestock2005!#REF!</definedName>
    <definedName name="__132__123Graph_BCHART_151" hidden="1">[1]Livestock2005!#REF!</definedName>
    <definedName name="__133__123Graph_BCHART_152" hidden="1">[1]Livestock2005!#REF!</definedName>
    <definedName name="__134__123Graph_BCHART_153" hidden="1">[1]Livestock2005!#REF!</definedName>
    <definedName name="__135__123Graph_BCHART_154" hidden="1">[1]Livestock2005!#REF!</definedName>
    <definedName name="__136__123Graph_BCHART_155" hidden="1">[1]Livestock2005!#REF!</definedName>
    <definedName name="__137__123Graph_BCHART_156" hidden="1">[1]Livestock2005!#REF!</definedName>
    <definedName name="__138__123Graph_BCHART_16" hidden="1">[1]Livestock2005!#REF!</definedName>
    <definedName name="__139__123Graph_BCHART_18" hidden="1">[1]Livestock2005!#REF!</definedName>
    <definedName name="__14__123Graph_ACHART_125" hidden="1">[1]Livestock2005!#REF!</definedName>
    <definedName name="__140__123Graph_BCHART_19" hidden="1">[1]Livestock2005!#REF!</definedName>
    <definedName name="__141__123Graph_BCHART_20" hidden="1">[1]Livestock2005!#REF!</definedName>
    <definedName name="__142__123Graph_BCHART_21" hidden="1">[1]Livestock2005!#REF!</definedName>
    <definedName name="__143__123Graph_BCHART_22" hidden="1">[1]Livestock2005!#REF!</definedName>
    <definedName name="__144__123Graph_BCHART_28" hidden="1">[1]Livestock2005!#REF!</definedName>
    <definedName name="__145__123Graph_BCHART_36" hidden="1">[1]Livestock2005!#REF!</definedName>
    <definedName name="__146__123Graph_BCHART_37" hidden="1">[1]Livestock2005!#REF!</definedName>
    <definedName name="__147__123Graph_BCHART_38" hidden="1">[1]Livestock2005!#REF!</definedName>
    <definedName name="__148__123Graph_BCHART_39" hidden="1">[1]Livestock2005!#REF!</definedName>
    <definedName name="__149__123Graph_BCHART_42" hidden="1">[1]Livestock2005!#REF!</definedName>
    <definedName name="__15__123Graph_ACHART_126" hidden="1">[1]Livestock2005!#REF!</definedName>
    <definedName name="__150__123Graph_BCHART_43" hidden="1">[1]Livestock2005!#REF!</definedName>
    <definedName name="__151__123Graph_BCHART_44" hidden="1">[1]Livestock2005!#REF!</definedName>
    <definedName name="__152__123Graph_BCHART_46" hidden="1">[1]Livestock2005!#REF!</definedName>
    <definedName name="__153__123Graph_BCHART_48" hidden="1">[1]Livestock2005!#REF!</definedName>
    <definedName name="__154__123Graph_BCHART_52" hidden="1">[1]Livestock2005!#REF!</definedName>
    <definedName name="__155__123Graph_BCHART_54" hidden="1">[1]Livestock2005!#REF!</definedName>
    <definedName name="__156__123Graph_BCHART_56" hidden="1">[1]Livestock2005!#REF!</definedName>
    <definedName name="__157__123Graph_BCHART_61" hidden="1">[1]Livestock2005!#REF!</definedName>
    <definedName name="__158__123Graph_BCHART_62" hidden="1">[1]Livestock2005!#REF!</definedName>
    <definedName name="__159__123Graph_BCHART_65" hidden="1">[1]Livestock2005!#REF!</definedName>
    <definedName name="__16__123Graph_ACHART_127" hidden="1">[1]Livestock2005!#REF!</definedName>
    <definedName name="__160__123Graph_BCHART_66" hidden="1">[1]Livestock2005!#REF!</definedName>
    <definedName name="__161__123Graph_BCHART_68" hidden="1">[1]Livestock2005!#REF!</definedName>
    <definedName name="__162__123Graph_BCHART_69" hidden="1">[1]Livestock2005!#REF!</definedName>
    <definedName name="__163__123Graph_BCHART_73" hidden="1">[1]Livestock2005!#REF!</definedName>
    <definedName name="__164__123Graph_BCHART_74" hidden="1">[1]Livestock2005!#REF!</definedName>
    <definedName name="__165__123Graph_BCHART_75" hidden="1">[1]Livestock2005!#REF!</definedName>
    <definedName name="__166__123Graph_BCHART_76" hidden="1">[1]Livestock2005!#REF!</definedName>
    <definedName name="__167__123Graph_BCHART_77" hidden="1">[1]Livestock2005!#REF!</definedName>
    <definedName name="__168__123Graph_BCHART_78" hidden="1">[1]Livestock2005!#REF!</definedName>
    <definedName name="__169__123Graph_BCHART_80" hidden="1">[1]Livestock2005!#REF!</definedName>
    <definedName name="__17__123Graph_ACHART_128" hidden="1">[1]Livestock2005!#REF!</definedName>
    <definedName name="__170__123Graph_BCHART_81" hidden="1">[1]Livestock2005!#REF!</definedName>
    <definedName name="__171__123Graph_BCHART_82" hidden="1">[1]Livestock2005!#REF!</definedName>
    <definedName name="__172__123Graph_BCHART_91" hidden="1">[1]Livestock2005!#REF!</definedName>
    <definedName name="__173__123Graph_BCHART_93" hidden="1">[1]Livestock2005!#REF!</definedName>
    <definedName name="__174__123Graph_BCHART_99" hidden="1">[1]Livestock2005!#REF!</definedName>
    <definedName name="__175__123Graph_CCHART_18" hidden="1">[1]Livestock2005!#REF!</definedName>
    <definedName name="__176__123Graph_CCHART_19" hidden="1">[1]Livestock2005!#REF!</definedName>
    <definedName name="__177__123Graph_CCHART_20" hidden="1">[1]Livestock2005!#REF!</definedName>
    <definedName name="__178__123Graph_CCHART_21" hidden="1">[1]Livestock2005!#REF!</definedName>
    <definedName name="__179__123Graph_CCHART_22" hidden="1">[1]Livestock2005!#REF!</definedName>
    <definedName name="__18__123Graph_ACHART_129" hidden="1">[1]Livestock2005!#REF!</definedName>
    <definedName name="__180__123Graph_CCHART_39" hidden="1">[1]Livestock2005!#REF!</definedName>
    <definedName name="__181__123Graph_CCHART_45" hidden="1">[1]Livestock2005!#REF!</definedName>
    <definedName name="__182__123Graph_CCHART_46" hidden="1">[1]Livestock2005!#REF!</definedName>
    <definedName name="__183__123Graph_CCHART_52" hidden="1">[1]Livestock2005!#REF!</definedName>
    <definedName name="__184__123Graph_CCHART_53" hidden="1">[1]Livestock2005!#REF!</definedName>
    <definedName name="__185__123Graph_CCHART_54" hidden="1">[1]Livestock2005!#REF!</definedName>
    <definedName name="__186__123Graph_CCHART_62" hidden="1">[1]Livestock2005!#REF!</definedName>
    <definedName name="__187__123Graph_CCHART_68" hidden="1">[1]Livestock2005!#REF!</definedName>
    <definedName name="__188__123Graph_CCHART_69" hidden="1">[1]Livestock2005!#REF!</definedName>
    <definedName name="__189__123Graph_CCHART_71" hidden="1">[1]Livestock2005!#REF!</definedName>
    <definedName name="__19__123Graph_ACHART_13" hidden="1">[1]Livestock2005!#REF!</definedName>
    <definedName name="__190__123Graph_CCHART_73" hidden="1">[1]Livestock2005!#REF!</definedName>
    <definedName name="__191__123Graph_CCHART_74" hidden="1">[1]Livestock2005!#REF!</definedName>
    <definedName name="__192__123Graph_CCHART_75" hidden="1">[1]Livestock2005!#REF!</definedName>
    <definedName name="__193__123Graph_CCHART_76" hidden="1">[1]Livestock2005!#REF!</definedName>
    <definedName name="__194__123Graph_CCHART_78" hidden="1">[1]Livestock2005!#REF!</definedName>
    <definedName name="__195__123Graph_CCHART_80" hidden="1">[1]Livestock2005!#REF!</definedName>
    <definedName name="__196__123Graph_CCHART_81" hidden="1">[1]Livestock2005!#REF!</definedName>
    <definedName name="__197__123Graph_CCHART_82" hidden="1">[1]Livestock2005!#REF!</definedName>
    <definedName name="__198__123Graph_DCHART_34" hidden="1">[1]Livestock2005!#REF!</definedName>
    <definedName name="__199__123Graph_DCHART_39" hidden="1">[1]Livestock2005!#REF!</definedName>
    <definedName name="__2__123Graph_ACHART_10" hidden="1">[1]Livestock2005!#REF!</definedName>
    <definedName name="__20__123Graph_ACHART_130" hidden="1">[1]Livestock2005!#REF!</definedName>
    <definedName name="__200__123Graph_DCHART_45" hidden="1">[1]Livestock2005!#REF!</definedName>
    <definedName name="__201__123Graph_DCHART_47" hidden="1">[1]Livestock2005!#REF!</definedName>
    <definedName name="__202__123Graph_DCHART_52" hidden="1">[1]Livestock2005!#REF!</definedName>
    <definedName name="__203__123Graph_DCHART_53" hidden="1">[1]Livestock2005!#REF!</definedName>
    <definedName name="__204__123Graph_DCHART_54" hidden="1">[1]Livestock2005!#REF!</definedName>
    <definedName name="__205__123Graph_DCHART_55" hidden="1">[1]Livestock2005!#REF!</definedName>
    <definedName name="__206__123Graph_DCHART_57" hidden="1">[1]Livestock2005!#REF!</definedName>
    <definedName name="__207__123Graph_DCHART_58" hidden="1">[1]Livestock2005!#REF!</definedName>
    <definedName name="__208__123Graph_DCHART_59" hidden="1">[1]Livestock2005!#REF!</definedName>
    <definedName name="__209__123Graph_DCHART_68" hidden="1">[1]Livestock2005!#REF!</definedName>
    <definedName name="__21__123Graph_ACHART_131" hidden="1">[1]Livestock2005!#REF!</definedName>
    <definedName name="__210__123Graph_DCHART_70" hidden="1">[1]Livestock2005!#REF!</definedName>
    <definedName name="__211__123Graph_DCHART_72" hidden="1">[1]Livestock2005!#REF!</definedName>
    <definedName name="__212__123Graph_DCHART_73" hidden="1">[1]Livestock2005!#REF!</definedName>
    <definedName name="__213__123Graph_ECHART_45" hidden="1">[1]Livestock2005!#REF!</definedName>
    <definedName name="__214__123Graph_ECHART_46" hidden="1">[1]Livestock2005!#REF!</definedName>
    <definedName name="__215__123Graph_ECHART_52" hidden="1">[1]Livestock2005!#REF!</definedName>
    <definedName name="__216__123Graph_ECHART_53" hidden="1">[1]Livestock2005!#REF!</definedName>
    <definedName name="__217__123Graph_ECHART_54" hidden="1">[1]Livestock2005!#REF!</definedName>
    <definedName name="__218__123Graph_ECHART_55" hidden="1">[1]Livestock2005!#REF!</definedName>
    <definedName name="__219__123Graph_ECHART_57" hidden="1">[1]Livestock2005!#REF!</definedName>
    <definedName name="__22__123Graph_ACHART_132" hidden="1">[1]Livestock2005!#REF!</definedName>
    <definedName name="__220__123Graph_ECHART_58" hidden="1">[1]Livestock2005!#REF!</definedName>
    <definedName name="__221__123Graph_ECHART_60" hidden="1">[1]Livestock2005!#REF!</definedName>
    <definedName name="__222__123Graph_ECHART_70" hidden="1">[1]Livestock2005!#REF!</definedName>
    <definedName name="__223__123Graph_ECHART_71" hidden="1">[1]Livestock2005!#REF!</definedName>
    <definedName name="__224__123Graph_ECHART_72" hidden="1">[1]Livestock2005!#REF!</definedName>
    <definedName name="__225__123Graph_FCHART_53" hidden="1">[1]Livestock2005!#REF!</definedName>
    <definedName name="__226__123Graph_FCHART_54" hidden="1">[1]Livestock2005!#REF!</definedName>
    <definedName name="__227__123Graph_FCHART_55" hidden="1">[1]Livestock2005!#REF!</definedName>
    <definedName name="__228__123Graph_FCHART_61" hidden="1">[1]Livestock2005!#REF!</definedName>
    <definedName name="__229__123Graph_FCHART_63" hidden="1">[1]Livestock2005!#REF!</definedName>
    <definedName name="__23__123Graph_ACHART_133" hidden="1">[1]Livestock2005!#REF!</definedName>
    <definedName name="__230__123Graph_XCHART_1" hidden="1">[1]Livestock2005!#REF!</definedName>
    <definedName name="__231__123Graph_XCHART_10" hidden="1">[1]Livestock2005!#REF!</definedName>
    <definedName name="__232__123Graph_XCHART_11" hidden="1">[1]Livestock2005!#REF!</definedName>
    <definedName name="__233__123Graph_XCHART_12" hidden="1">[1]Livestock2005!#REF!</definedName>
    <definedName name="__234__123Graph_XCHART_123" hidden="1">[1]Livestock2005!#REF!</definedName>
    <definedName name="__235__123Graph_XCHART_124" hidden="1">[1]Livestock2005!#REF!</definedName>
    <definedName name="__236__123Graph_XCHART_125" hidden="1">[1]Livestock2005!#REF!</definedName>
    <definedName name="__237__123Graph_XCHART_126" hidden="1">[1]Livestock2005!#REF!</definedName>
    <definedName name="__238__123Graph_XCHART_127" hidden="1">[1]Livestock2005!#REF!</definedName>
    <definedName name="__239__123Graph_XCHART_128" hidden="1">[1]Livestock2005!#REF!</definedName>
    <definedName name="__24__123Graph_ACHART_134" hidden="1">[1]Livestock2005!#REF!</definedName>
    <definedName name="__240__123Graph_XCHART_129" hidden="1">[1]Livestock2005!#REF!</definedName>
    <definedName name="__241__123Graph_XCHART_13" hidden="1">[1]Livestock2005!#REF!</definedName>
    <definedName name="__242__123Graph_XCHART_130" hidden="1">[1]Livestock2005!#REF!</definedName>
    <definedName name="__243__123Graph_XCHART_131" hidden="1">[1]Livestock2005!#REF!</definedName>
    <definedName name="__244__123Graph_XCHART_132" hidden="1">[1]Livestock2005!#REF!</definedName>
    <definedName name="__245__123Graph_XCHART_133" hidden="1">[1]Livestock2005!#REF!</definedName>
    <definedName name="__246__123Graph_XCHART_134" hidden="1">[1]Livestock2005!#REF!</definedName>
    <definedName name="__247__123Graph_XCHART_135" hidden="1">[1]Livestock2005!#REF!</definedName>
    <definedName name="__248__123Graph_XCHART_136" hidden="1">[1]Livestock2005!#REF!</definedName>
    <definedName name="__249__123Graph_XCHART_137" hidden="1">[1]Livestock2005!#REF!</definedName>
    <definedName name="__25__123Graph_ACHART_135" hidden="1">[1]Livestock2005!#REF!</definedName>
    <definedName name="__250__123Graph_XCHART_138" hidden="1">[1]Livestock2005!#REF!</definedName>
    <definedName name="__251__123Graph_XCHART_139" hidden="1">[1]Livestock2005!#REF!</definedName>
    <definedName name="__252__123Graph_XCHART_14" hidden="1">[1]Livestock2005!#REF!</definedName>
    <definedName name="__253__123Graph_XCHART_140" hidden="1">[1]Livestock2005!#REF!</definedName>
    <definedName name="__254__123Graph_XCHART_141" hidden="1">[1]Livestock2005!#REF!</definedName>
    <definedName name="__255__123Graph_XCHART_142" hidden="1">[1]Livestock2005!#REF!</definedName>
    <definedName name="__256__123Graph_XCHART_143" hidden="1">[1]Livestock2005!#REF!</definedName>
    <definedName name="__257__123Graph_XCHART_144" hidden="1">[1]Livestock2005!#REF!</definedName>
    <definedName name="__258__123Graph_XCHART_145" hidden="1">[1]Livestock2005!#REF!</definedName>
    <definedName name="__259__123Graph_XCHART_146" hidden="1">[1]Livestock2005!#REF!</definedName>
    <definedName name="__26__123Graph_ACHART_136" hidden="1">[1]Livestock2005!#REF!</definedName>
    <definedName name="__260__123Graph_XCHART_147" hidden="1">[1]Livestock2005!#REF!</definedName>
    <definedName name="__261__123Graph_XCHART_148" hidden="1">[1]Livestock2005!#REF!</definedName>
    <definedName name="__262__123Graph_XCHART_149" hidden="1">[1]Livestock2005!#REF!</definedName>
    <definedName name="__263__123Graph_XCHART_15" hidden="1">[1]Livestock2005!#REF!</definedName>
    <definedName name="__264__123Graph_XCHART_150" hidden="1">[1]Livestock2005!#REF!</definedName>
    <definedName name="__265__123Graph_XCHART_151" hidden="1">[1]Livestock2005!#REF!</definedName>
    <definedName name="__266__123Graph_XCHART_152" hidden="1">[1]Livestock2005!#REF!</definedName>
    <definedName name="__267__123Graph_XCHART_153" hidden="1">[1]Livestock2005!#REF!</definedName>
    <definedName name="__268__123Graph_XCHART_154" hidden="1">[1]Livestock2005!#REF!</definedName>
    <definedName name="__269__123Graph_XCHART_155" hidden="1">[1]Livestock2005!#REF!</definedName>
    <definedName name="__27__123Graph_ACHART_137" hidden="1">[1]Livestock2005!#REF!</definedName>
    <definedName name="__270__123Graph_XCHART_156" hidden="1">[1]Livestock2005!#REF!</definedName>
    <definedName name="__271__123Graph_XCHART_16" hidden="1">[1]Livestock2005!#REF!</definedName>
    <definedName name="__272__123Graph_XCHART_17" hidden="1">[1]Livestock2005!#REF!</definedName>
    <definedName name="__273__123Graph_XCHART_18" hidden="1">[1]Livestock2005!#REF!</definedName>
    <definedName name="__274__123Graph_XCHART_19" hidden="1">[1]Livestock2005!#REF!</definedName>
    <definedName name="__275__123Graph_XCHART_2" hidden="1">[1]Livestock2005!#REF!</definedName>
    <definedName name="__276__123Graph_XCHART_20" hidden="1">[1]Livestock2005!#REF!</definedName>
    <definedName name="__277__123Graph_XCHART_21" hidden="1">[1]Livestock2005!#REF!</definedName>
    <definedName name="__278__123Graph_XCHART_22" hidden="1">[1]Livestock2005!#REF!</definedName>
    <definedName name="__279__123Graph_XCHART_23" hidden="1">[1]Livestock2005!#REF!</definedName>
    <definedName name="__28__123Graph_ACHART_138" hidden="1">[1]Livestock2005!#REF!</definedName>
    <definedName name="__280__123Graph_XCHART_24" hidden="1">[1]Livestock2005!#REF!</definedName>
    <definedName name="__281__123Graph_XCHART_3" hidden="1">[1]Livestock2005!#REF!</definedName>
    <definedName name="__282__123Graph_XCHART_4" hidden="1">[1]Livestock2005!#REF!</definedName>
    <definedName name="__283__123Graph_XCHART_45" hidden="1">[1]Livestock2005!#REF!</definedName>
    <definedName name="__284__123Graph_XCHART_46" hidden="1">[1]Livestock2005!#REF!</definedName>
    <definedName name="__285__123Graph_XCHART_47" hidden="1">[1]Livestock2005!#REF!</definedName>
    <definedName name="__286__123Graph_XCHART_48" hidden="1">[1]Livestock2005!#REF!</definedName>
    <definedName name="__287__123Graph_XCHART_49" hidden="1">[1]Livestock2005!#REF!</definedName>
    <definedName name="__288__123Graph_XCHART_5" hidden="1">[1]Livestock2005!#REF!</definedName>
    <definedName name="__289__123Graph_XCHART_50" hidden="1">[1]Livestock2005!#REF!</definedName>
    <definedName name="__29__123Graph_ACHART_139" hidden="1">[1]Livestock2005!#REF!</definedName>
    <definedName name="__290__123Graph_XCHART_51" hidden="1">[1]Livestock2005!#REF!</definedName>
    <definedName name="__291__123Graph_XCHART_52" hidden="1">[1]Livestock2005!#REF!</definedName>
    <definedName name="__292__123Graph_XCHART_53" hidden="1">[1]Livestock2005!#REF!</definedName>
    <definedName name="__293__123Graph_XCHART_54" hidden="1">[1]Livestock2005!#REF!</definedName>
    <definedName name="__294__123Graph_XCHART_55" hidden="1">[1]Livestock2005!#REF!</definedName>
    <definedName name="__295__123Graph_XCHART_56" hidden="1">[1]Livestock2005!#REF!</definedName>
    <definedName name="__296__123Graph_XCHART_57" hidden="1">[1]Livestock2005!#REF!</definedName>
    <definedName name="__297__123Graph_XCHART_58" hidden="1">[1]Livestock2005!#REF!</definedName>
    <definedName name="__298__123Graph_XCHART_59" hidden="1">[1]Livestock2005!#REF!</definedName>
    <definedName name="__299__123Graph_XCHART_6" hidden="1">[1]Livestock2005!#REF!</definedName>
    <definedName name="__3__123Graph_ACHART_100" hidden="1">[1]Livestock2005!#REF!</definedName>
    <definedName name="__30__123Graph_ACHART_14" hidden="1">[1]Livestock2005!#REF!</definedName>
    <definedName name="__300__123Graph_XCHART_62" hidden="1">[1]Livestock2005!#REF!</definedName>
    <definedName name="__301__123Graph_XCHART_68" hidden="1">[1]Livestock2005!#REF!</definedName>
    <definedName name="__302__123Graph_XCHART_69" hidden="1">[1]Livestock2005!#REF!</definedName>
    <definedName name="__303__123Graph_XCHART_70" hidden="1">[1]Livestock2005!#REF!</definedName>
    <definedName name="__304__123Graph_XCHART_71" hidden="1">[1]Livestock2005!#REF!</definedName>
    <definedName name="__305__123Graph_XCHART_73" hidden="1">[1]Livestock2005!#REF!</definedName>
    <definedName name="__306__123Graph_XCHART_74" hidden="1">[1]Livestock2005!#REF!</definedName>
    <definedName name="__307__123Graph_XCHART_75" hidden="1">[1]Livestock2005!#REF!</definedName>
    <definedName name="__308__123Graph_XCHART_76" hidden="1">[1]Livestock2005!#REF!</definedName>
    <definedName name="__309__123Graph_XCHART_77" hidden="1">[1]Livestock2005!#REF!</definedName>
    <definedName name="__31__123Graph_ACHART_140" hidden="1">[1]Livestock2005!#REF!</definedName>
    <definedName name="__310__123Graph_XCHART_78" hidden="1">[1]Livestock2005!#REF!</definedName>
    <definedName name="__311__123Graph_XCHART_80" hidden="1">[1]Livestock2005!#REF!</definedName>
    <definedName name="__312__123Graph_XCHART_81" hidden="1">[1]Livestock2005!#REF!</definedName>
    <definedName name="__313__123Graph_XCHART_82" hidden="1">[1]Livestock2005!#REF!</definedName>
    <definedName name="__32__123Graph_ACHART_141" hidden="1">[1]Livestock2005!#REF!</definedName>
    <definedName name="__33__123Graph_ACHART_142" hidden="1">[1]Livestock2005!#REF!</definedName>
    <definedName name="__34__123Graph_ACHART_143" hidden="1">[1]Livestock2005!#REF!</definedName>
    <definedName name="__35__123Graph_ACHART_144" hidden="1">[1]Livestock2005!#REF!</definedName>
    <definedName name="__36__123Graph_ACHART_145" hidden="1">[1]Livestock2005!#REF!</definedName>
    <definedName name="__37__123Graph_ACHART_146" hidden="1">[1]Livestock2005!#REF!</definedName>
    <definedName name="__38__123Graph_ACHART_147" hidden="1">[1]Livestock2005!#REF!</definedName>
    <definedName name="__39__123Graph_ACHART_148" hidden="1">[1]Livestock2005!#REF!</definedName>
    <definedName name="__4__123Graph_ACHART_101" hidden="1">[1]Livestock2005!#REF!</definedName>
    <definedName name="__40__123Graph_ACHART_149" hidden="1">[1]Livestock2005!#REF!</definedName>
    <definedName name="__41__123Graph_ACHART_15" hidden="1">[1]Livestock2005!#REF!</definedName>
    <definedName name="__42__123Graph_ACHART_150" hidden="1">[1]Livestock2005!#REF!</definedName>
    <definedName name="__43__123Graph_ACHART_151" hidden="1">[1]Livestock2005!#REF!</definedName>
    <definedName name="__44__123Graph_ACHART_152" hidden="1">[1]Livestock2005!#REF!</definedName>
    <definedName name="__45__123Graph_ACHART_153" hidden="1">[1]Livestock2005!#REF!</definedName>
    <definedName name="__46__123Graph_ACHART_154" hidden="1">[1]Livestock2005!#REF!</definedName>
    <definedName name="__47__123Graph_ACHART_155" hidden="1">[1]Livestock2005!#REF!</definedName>
    <definedName name="__48__123Graph_ACHART_156" hidden="1">[1]Livestock2005!#REF!</definedName>
    <definedName name="__49__123Graph_ACHART_16" hidden="1">[1]Livestock2005!#REF!</definedName>
    <definedName name="__5__123Graph_ACHART_105" hidden="1">[1]Livestock2005!#REF!</definedName>
    <definedName name="__50__123Graph_ACHART_17" hidden="1">[1]Livestock2005!#REF!</definedName>
    <definedName name="__51__123Graph_ACHART_18" hidden="1">[1]Livestock2005!#REF!</definedName>
    <definedName name="__52__123Graph_ACHART_19" hidden="1">[1]Livestock2005!#REF!</definedName>
    <definedName name="__53__123Graph_ACHART_2" hidden="1">[1]Livestock2005!#REF!</definedName>
    <definedName name="__54__123Graph_ACHART_20" hidden="1">[1]Livestock2005!#REF!</definedName>
    <definedName name="__55__123Graph_ACHART_21" hidden="1">[1]Livestock2005!#REF!</definedName>
    <definedName name="__56__123Graph_ACHART_22" hidden="1">[1]Livestock2005!#REF!</definedName>
    <definedName name="__57__123Graph_ACHART_23" hidden="1">[1]Livestock2005!#REF!</definedName>
    <definedName name="__58__123Graph_ACHART_3" hidden="1">[1]Livestock2005!#REF!</definedName>
    <definedName name="__59__123Graph_ACHART_39" hidden="1">[1]Livestock2005!#REF!</definedName>
    <definedName name="__6__123Graph_ACHART_11" hidden="1">[1]Livestock2005!#REF!</definedName>
    <definedName name="__60__123Graph_ACHART_4" hidden="1">[1]Livestock2005!#REF!</definedName>
    <definedName name="__61__123Graph_ACHART_47" hidden="1">[1]Livestock2005!#REF!</definedName>
    <definedName name="__62__123Graph_ACHART_48" hidden="1">[1]Livestock2005!#REF!</definedName>
    <definedName name="__63__123Graph_ACHART_49" hidden="1">[1]Livestock2005!#REF!</definedName>
    <definedName name="__64__123Graph_ACHART_5" hidden="1">[1]Livestock2005!#REF!</definedName>
    <definedName name="__65__123Graph_ACHART_50" hidden="1">[1]Livestock2005!#REF!</definedName>
    <definedName name="__66__123Graph_ACHART_51" hidden="1">[1]Livestock2005!#REF!</definedName>
    <definedName name="__67__123Graph_ACHART_52" hidden="1">[1]Livestock2005!#REF!</definedName>
    <definedName name="__68__123Graph_ACHART_53" hidden="1">[1]Livestock2005!#REF!</definedName>
    <definedName name="__69__123Graph_ACHART_54" hidden="1">[1]Livestock2005!#REF!</definedName>
    <definedName name="__7__123Graph_ACHART_110" hidden="1">[1]Livestock2005!#REF!</definedName>
    <definedName name="__70__123Graph_ACHART_56" hidden="1">[1]Livestock2005!#REF!</definedName>
    <definedName name="__71__123Graph_ACHART_57" hidden="1">[1]Livestock2005!#REF!</definedName>
    <definedName name="__72__123Graph_ACHART_58" hidden="1">[1]Livestock2005!#REF!</definedName>
    <definedName name="__73__123Graph_ACHART_59" hidden="1">[1]Livestock2005!#REF!</definedName>
    <definedName name="__74__123Graph_ACHART_6" hidden="1">[1]Livestock2005!#REF!</definedName>
    <definedName name="__75__123Graph_ACHART_61" hidden="1">[1]Livestock2005!#REF!</definedName>
    <definedName name="__76__123Graph_ACHART_62" hidden="1">[1]Livestock2005!#REF!</definedName>
    <definedName name="__77__123Graph_ACHART_68" hidden="1">[1]Livestock2005!#REF!</definedName>
    <definedName name="__78__123Graph_ACHART_69" hidden="1">[1]Livestock2005!#REF!</definedName>
    <definedName name="__79__123Graph_ACHART_7" hidden="1">[1]Livestock2005!#REF!</definedName>
    <definedName name="__8__123Graph_ACHART_114" hidden="1">[1]Livestock2005!#REF!</definedName>
    <definedName name="__80__123Graph_ACHART_70" hidden="1">[1]Livestock2005!#REF!</definedName>
    <definedName name="__81__123Graph_ACHART_71" hidden="1">[1]Livestock2005!#REF!</definedName>
    <definedName name="__82__123Graph_ACHART_72" hidden="1">[1]Livestock2005!#REF!</definedName>
    <definedName name="__83__123Graph_ACHART_73" hidden="1">[1]Livestock2005!#REF!</definedName>
    <definedName name="__84__123Graph_ACHART_74" hidden="1">[1]Livestock2005!#REF!</definedName>
    <definedName name="__85__123Graph_ACHART_75" hidden="1">[1]Livestock2005!#REF!</definedName>
    <definedName name="__86__123Graph_ACHART_76" hidden="1">[1]Livestock2005!#REF!</definedName>
    <definedName name="__87__123Graph_ACHART_77" hidden="1">[1]Livestock2005!#REF!</definedName>
    <definedName name="__88__123Graph_ACHART_78" hidden="1">[1]Livestock2005!#REF!</definedName>
    <definedName name="__89__123Graph_ACHART_8" hidden="1">[1]Livestock2005!#REF!</definedName>
    <definedName name="__9__123Graph_ACHART_115" hidden="1">[1]Livestock2005!#REF!</definedName>
    <definedName name="__90__123Graph_ACHART_80" hidden="1">[1]Livestock2005!#REF!</definedName>
    <definedName name="__91__123Graph_ACHART_81" hidden="1">[1]Livestock2005!#REF!</definedName>
    <definedName name="__92__123Graph_ACHART_82" hidden="1">[1]Livestock2005!#REF!</definedName>
    <definedName name="__93__123Graph_ACHART_87" hidden="1">[1]Livestock2005!#REF!</definedName>
    <definedName name="__94__123Graph_ACHART_89" hidden="1">[1]Livestock2005!#REF!</definedName>
    <definedName name="__95__123Graph_ACHART_9" hidden="1">[1]Livestock2005!#REF!</definedName>
    <definedName name="__96__123Graph_ACHART_90" hidden="1">[1]Livestock2005!#REF!</definedName>
    <definedName name="__97__123Graph_ACHART_94" hidden="1">[1]Livestock2005!#REF!</definedName>
    <definedName name="__98__123Graph_ACHART_95" hidden="1">[1]Livestock2005!#REF!</definedName>
    <definedName name="__99__123Graph_ACHART_98" hidden="1">[1]Livestock2005!#REF!</definedName>
    <definedName name="__FDS_HYPERLINK_TOGGLE_STATE__" hidden="1">"ON"</definedName>
    <definedName name="__r" hidden="1">{"MULTIPLICAÇÃO",#N/A,FALSE,"Obras"}</definedName>
    <definedName name="__SPF01" hidden="1">{"MULTIPLICAÇÃO",#N/A,FALSE,"Obras"}</definedName>
    <definedName name="__SPF02" hidden="1">{"MULTIPLICAÇÃO",#N/A,FALSE,"Obras"}</definedName>
    <definedName name="__UB2" hidden="1">{"MULTIPLICAÇÃO",#N/A,FALSE,"Obras"}</definedName>
    <definedName name="__xlfn.RTD" hidden="1">#NAME?</definedName>
    <definedName name="_1__123Graph_ACHART_1" hidden="1">[1]Livestock2005!#REF!</definedName>
    <definedName name="_10__123Graph_ACHART_105" hidden="1">[1]Livestock2005!#REF!</definedName>
    <definedName name="_10__123Graph_ACHART_119" hidden="1">[1]Livestock2005!#REF!</definedName>
    <definedName name="_100__123Graph_ACHART_105" hidden="1">[1]Livestock2005!#REF!</definedName>
    <definedName name="_100__123Graph_ACHART_17" hidden="1">[1]Livestock2005!#REF!</definedName>
    <definedName name="_100__123Graph_BCHART_102" hidden="1">[1]Livestock2005!#REF!</definedName>
    <definedName name="_1000__123Graph_ACHART_17" hidden="1">[1]Livestock2005!#REF!</definedName>
    <definedName name="_101__123Graph_BCHART_105" hidden="1">[1]Livestock2005!#REF!</definedName>
    <definedName name="_102__123Graph_ACHART_143" hidden="1">[1]Livestock2005!#REF!</definedName>
    <definedName name="_102__123Graph_ACHART_18" hidden="1">[1]Livestock2005!#REF!</definedName>
    <definedName name="_102__123Graph_BCHART_109" hidden="1">[1]Livestock2005!#REF!</definedName>
    <definedName name="_1020__123Graph_ACHART_18" hidden="1">[1]Livestock2005!#REF!</definedName>
    <definedName name="_103__123Graph_BCHART_115" hidden="1">[1]Livestock2005!#REF!</definedName>
    <definedName name="_104__123Graph_ACHART_19" hidden="1">[1]Livestock2005!#REF!</definedName>
    <definedName name="_104__123Graph_BCHART_118" hidden="1">[1]Livestock2005!#REF!</definedName>
    <definedName name="_1040__123Graph_ACHART_19" hidden="1">[1]Livestock2005!#REF!</definedName>
    <definedName name="_105__123Graph_ACHART_144" hidden="1">[1]Livestock2005!#REF!</definedName>
    <definedName name="_105__123Graph_BCHART_12" hidden="1">[1]Livestock2005!#REF!</definedName>
    <definedName name="_106__123Graph_ACHART_2" hidden="1">[1]Livestock2005!#REF!</definedName>
    <definedName name="_106__123Graph_BCHART_122" hidden="1">[1]Livestock2005!#REF!</definedName>
    <definedName name="_1060__123Graph_ACHART_2" hidden="1">[1]Livestock2005!#REF!</definedName>
    <definedName name="_107__123Graph_BCHART_129" hidden="1">[1]Livestock2005!#REF!</definedName>
    <definedName name="_108__123Graph_ACHART_145" hidden="1">[1]Livestock2005!#REF!</definedName>
    <definedName name="_108__123Graph_ACHART_20" hidden="1">[1]Livestock2005!#REF!</definedName>
    <definedName name="_108__123Graph_BCHART_13" hidden="1">[1]Livestock2005!#REF!</definedName>
    <definedName name="_1080__123Graph_ACHART_20" hidden="1">[1]Livestock2005!#REF!</definedName>
    <definedName name="_109__123Graph_BCHART_130" hidden="1">[1]Livestock2005!#REF!</definedName>
    <definedName name="_11__123Graph_ACHART_12" hidden="1">[1]Livestock2005!#REF!</definedName>
    <definedName name="_110__123Graph_ACHART_21" hidden="1">[1]Livestock2005!#REF!</definedName>
    <definedName name="_110__123Graph_BCHART_131" hidden="1">[1]Livestock2005!#REF!</definedName>
    <definedName name="_1100__123Graph_ACHART_21" hidden="1">[1]Livestock2005!#REF!</definedName>
    <definedName name="_111__123Graph_ACHART_146" hidden="1">[1]Livestock2005!#REF!</definedName>
    <definedName name="_111__123Graph_BCHART_132" hidden="1">[1]Livestock2005!#REF!</definedName>
    <definedName name="_112__123Graph_ACHART_22" hidden="1">[1]Livestock2005!#REF!</definedName>
    <definedName name="_112__123Graph_BCHART_133" hidden="1">[1]Livestock2005!#REF!</definedName>
    <definedName name="_1120__123Graph_ACHART_22" hidden="1">[1]Livestock2005!#REF!</definedName>
    <definedName name="_113__123Graph_BCHART_134" hidden="1">[1]Livestock2005!#REF!</definedName>
    <definedName name="_114__123Graph_ACHART_147" hidden="1">[1]Livestock2005!#REF!</definedName>
    <definedName name="_114__123Graph_ACHART_23" hidden="1">[1]Livestock2005!#REF!</definedName>
    <definedName name="_114__123Graph_BCHART_135" hidden="1">[1]Livestock2005!#REF!</definedName>
    <definedName name="_1140__123Graph_ACHART_23" hidden="1">[1]Livestock2005!#REF!</definedName>
    <definedName name="_115__123Graph_BCHART_136" hidden="1">[1]Livestock2005!#REF!</definedName>
    <definedName name="_116__123Graph_ACHART_3" hidden="1">[1]Livestock2005!#REF!</definedName>
    <definedName name="_116__123Graph_BCHART_137" hidden="1">[1]Livestock2005!#REF!</definedName>
    <definedName name="_1160__123Graph_ACHART_3" hidden="1">[1]Livestock2005!#REF!</definedName>
    <definedName name="_117__123Graph_ACHART_148" hidden="1">[1]Livestock2005!#REF!</definedName>
    <definedName name="_117__123Graph_BCHART_138" hidden="1">[1]Livestock2005!#REF!</definedName>
    <definedName name="_118__123Graph_ACHART_39" hidden="1">[1]Livestock2005!#REF!</definedName>
    <definedName name="_118__123Graph_BCHART_139" hidden="1">[1]Livestock2005!#REF!</definedName>
    <definedName name="_1180__123Graph_ACHART_39" hidden="1">[1]Livestock2005!#REF!</definedName>
    <definedName name="_119__123Graph_BCHART_14" hidden="1">[1]Livestock2005!#REF!</definedName>
    <definedName name="_12__123Graph_ACHART_101" hidden="1">[1]Livestock2005!#REF!</definedName>
    <definedName name="_12__123Graph_ACHART_11" hidden="1">[1]Livestock2005!#REF!</definedName>
    <definedName name="_12__123Graph_ACHART_123" hidden="1">[1]Livestock2005!#REF!</definedName>
    <definedName name="_120__123Graph_ACHART_11" hidden="1">[1]Livestock2005!#REF!</definedName>
    <definedName name="_120__123Graph_ACHART_149" hidden="1">[1]Livestock2005!#REF!</definedName>
    <definedName name="_120__123Graph_ACHART_4" hidden="1">[1]Livestock2005!#REF!</definedName>
    <definedName name="_120__123Graph_BCHART_140" hidden="1">[1]Livestock2005!#REF!</definedName>
    <definedName name="_1200__123Graph_ACHART_4" hidden="1">[1]Livestock2005!#REF!</definedName>
    <definedName name="_121__123Graph_BCHART_141" hidden="1">[1]Livestock2005!#REF!</definedName>
    <definedName name="_122__123Graph_ACHART_47" hidden="1">[1]Livestock2005!#REF!</definedName>
    <definedName name="_122__123Graph_BCHART_142" hidden="1">[1]Livestock2005!#REF!</definedName>
    <definedName name="_1220__123Graph_ACHART_47" hidden="1">[1]Livestock2005!#REF!</definedName>
    <definedName name="_123__123Graph_ACHART_15" hidden="1">[1]Livestock2005!#REF!</definedName>
    <definedName name="_123__123Graph_BCHART_143" hidden="1">[1]Livestock2005!#REF!</definedName>
    <definedName name="_124__123Graph_ACHART_48" hidden="1">[1]Livestock2005!#REF!</definedName>
    <definedName name="_124__123Graph_BCHART_144" hidden="1">[1]Livestock2005!#REF!</definedName>
    <definedName name="_1240__123Graph_ACHART_48" hidden="1">[1]Livestock2005!#REF!</definedName>
    <definedName name="_125__123Graph_BCHART_145" hidden="1">[1]Livestock2005!#REF!</definedName>
    <definedName name="_126__123Graph_ACHART_150" hidden="1">[1]Livestock2005!#REF!</definedName>
    <definedName name="_126__123Graph_ACHART_49" hidden="1">[1]Livestock2005!#REF!</definedName>
    <definedName name="_126__123Graph_BCHART_146" hidden="1">[1]Livestock2005!#REF!</definedName>
    <definedName name="_1260__123Graph_ACHART_49" hidden="1">[1]Livestock2005!#REF!</definedName>
    <definedName name="_127__123Graph_BCHART_147" hidden="1">[1]Livestock2005!#REF!</definedName>
    <definedName name="_128__123Graph_ACHART_5" hidden="1">[1]Livestock2005!#REF!</definedName>
    <definedName name="_128__123Graph_BCHART_148" hidden="1">[1]Livestock2005!#REF!</definedName>
    <definedName name="_1280__123Graph_ACHART_5" hidden="1">[1]Livestock2005!#REF!</definedName>
    <definedName name="_129__123Graph_ACHART_151" hidden="1">[1]Livestock2005!#REF!</definedName>
    <definedName name="_129__123Graph_BCHART_149" hidden="1">[1]Livestock2005!#REF!</definedName>
    <definedName name="_13__123Graph_ACHART_124" hidden="1">[1]Livestock2005!#REF!</definedName>
    <definedName name="_130__123Graph_ACHART_50" hidden="1">[1]Livestock2005!#REF!</definedName>
    <definedName name="_130__123Graph_BCHART_15" hidden="1">[1]Livestock2005!#REF!</definedName>
    <definedName name="_1300__123Graph_ACHART_50" hidden="1">[1]Livestock2005!#REF!</definedName>
    <definedName name="_131__123Graph_BCHART_150" hidden="1">[1]Livestock2005!#REF!</definedName>
    <definedName name="_132__123Graph_ACHART_152" hidden="1">[1]Livestock2005!#REF!</definedName>
    <definedName name="_132__123Graph_ACHART_51" hidden="1">[1]Livestock2005!#REF!</definedName>
    <definedName name="_132__123Graph_BCHART_151" hidden="1">[1]Livestock2005!#REF!</definedName>
    <definedName name="_1320__123Graph_ACHART_51" hidden="1">[1]Livestock2005!#REF!</definedName>
    <definedName name="_133__123Graph_BCHART_152" hidden="1">[1]Livestock2005!#REF!</definedName>
    <definedName name="_134__123Graph_ACHART_52" hidden="1">[1]Livestock2005!#REF!</definedName>
    <definedName name="_134__123Graph_BCHART_153" hidden="1">[1]Livestock2005!#REF!</definedName>
    <definedName name="_1340__123Graph_ACHART_52" hidden="1">[1]Livestock2005!#REF!</definedName>
    <definedName name="_135__123Graph_ACHART_153" hidden="1">[1]Livestock2005!#REF!</definedName>
    <definedName name="_135__123Graph_BCHART_154" hidden="1">[1]Livestock2005!#REF!</definedName>
    <definedName name="_136__123Graph_ACHART_53" hidden="1">[1]Livestock2005!#REF!</definedName>
    <definedName name="_136__123Graph_BCHART_155" hidden="1">[1]Livestock2005!#REF!</definedName>
    <definedName name="_1360__123Graph_ACHART_53" hidden="1">[1]Livestock2005!#REF!</definedName>
    <definedName name="_137__123Graph_BCHART_156" hidden="1">[1]Livestock2005!#REF!</definedName>
    <definedName name="_138__123Graph_ACHART_154" hidden="1">[1]Livestock2005!#REF!</definedName>
    <definedName name="_138__123Graph_ACHART_54" hidden="1">[1]Livestock2005!#REF!</definedName>
    <definedName name="_138__123Graph_BCHART_16" hidden="1">[1]Livestock2005!#REF!</definedName>
    <definedName name="_1380__123Graph_ACHART_54" hidden="1">[1]Livestock2005!#REF!</definedName>
    <definedName name="_139__123Graph_BCHART_18" hidden="1">[1]Livestock2005!#REF!</definedName>
    <definedName name="_14__123Graph_ACHART_110" hidden="1">[1]Livestock2005!#REF!</definedName>
    <definedName name="_14__123Graph_ACHART_125" hidden="1">[1]Livestock2005!#REF!</definedName>
    <definedName name="_140__123Graph_ACHART_110" hidden="1">[1]Livestock2005!#REF!</definedName>
    <definedName name="_140__123Graph_ACHART_56" hidden="1">[1]Livestock2005!#REF!</definedName>
    <definedName name="_140__123Graph_BCHART_19" hidden="1">[1]Livestock2005!#REF!</definedName>
    <definedName name="_1400__123Graph_ACHART_56" hidden="1">[1]Livestock2005!#REF!</definedName>
    <definedName name="_141__123Graph_ACHART_155" hidden="1">[1]Livestock2005!#REF!</definedName>
    <definedName name="_141__123Graph_BCHART_20" hidden="1">[1]Livestock2005!#REF!</definedName>
    <definedName name="_142__123Graph_ACHART_57" hidden="1">[1]Livestock2005!#REF!</definedName>
    <definedName name="_142__123Graph_BCHART_21" hidden="1">[1]Livestock2005!#REF!</definedName>
    <definedName name="_1420__123Graph_ACHART_57" hidden="1">[1]Livestock2005!#REF!</definedName>
    <definedName name="_143__123Graph_BCHART_22" hidden="1">[1]Livestock2005!#REF!</definedName>
    <definedName name="_144__123Graph_ACHART_156" hidden="1">[1]Livestock2005!#REF!</definedName>
    <definedName name="_144__123Graph_ACHART_58" hidden="1">[1]Livestock2005!#REF!</definedName>
    <definedName name="_144__123Graph_BCHART_28" hidden="1">[1]Livestock2005!#REF!</definedName>
    <definedName name="_1440__123Graph_ACHART_58" hidden="1">[1]Livestock2005!#REF!</definedName>
    <definedName name="_145__123Graph_BCHART_36" hidden="1">[1]Livestock2005!#REF!</definedName>
    <definedName name="_146__123Graph_ACHART_59" hidden="1">[1]Livestock2005!#REF!</definedName>
    <definedName name="_146__123Graph_BCHART_37" hidden="1">[1]Livestock2005!#REF!</definedName>
    <definedName name="_1460__123Graph_ACHART_59" hidden="1">[1]Livestock2005!#REF!</definedName>
    <definedName name="_147__123Graph_ACHART_16" hidden="1">[1]Livestock2005!#REF!</definedName>
    <definedName name="_147__123Graph_BCHART_38" hidden="1">[1]Livestock2005!#REF!</definedName>
    <definedName name="_148__123Graph_ACHART_6" hidden="1">[1]Livestock2005!#REF!</definedName>
    <definedName name="_148__123Graph_BCHART_39" hidden="1">[1]Livestock2005!#REF!</definedName>
    <definedName name="_1480__123Graph_ACHART_6" hidden="1">[1]Livestock2005!#REF!</definedName>
    <definedName name="_149__123Graph_BCHART_42" hidden="1">[1]Livestock2005!#REF!</definedName>
    <definedName name="_15__123Graph_ACHART_105" hidden="1">[1]Livestock2005!#REF!</definedName>
    <definedName name="_15__123Graph_ACHART_126" hidden="1">[1]Livestock2005!#REF!</definedName>
    <definedName name="_150__123Graph_ACHART_17" hidden="1">[1]Livestock2005!#REF!</definedName>
    <definedName name="_150__123Graph_ACHART_61" hidden="1">[1]Livestock2005!#REF!</definedName>
    <definedName name="_150__123Graph_BCHART_43" hidden="1">[1]Livestock2005!#REF!</definedName>
    <definedName name="_1500__123Graph_ACHART_61" hidden="1">[1]Livestock2005!#REF!</definedName>
    <definedName name="_151__123Graph_BCHART_44" hidden="1">[1]Livestock2005!#REF!</definedName>
    <definedName name="_152__123Graph_ACHART_62" hidden="1">[1]Livestock2005!#REF!</definedName>
    <definedName name="_152__123Graph_BCHART_46" hidden="1">[1]Livestock2005!#REF!</definedName>
    <definedName name="_1520__123Graph_ACHART_62" hidden="1">[1]Livestock2005!#REF!</definedName>
    <definedName name="_153__123Graph_ACHART_18" hidden="1">[1]Livestock2005!#REF!</definedName>
    <definedName name="_153__123Graph_BCHART_48" hidden="1">[1]Livestock2005!#REF!</definedName>
    <definedName name="_154__123Graph_ACHART_68" hidden="1">[1]Livestock2005!#REF!</definedName>
    <definedName name="_154__123Graph_BCHART_52" hidden="1">[1]Livestock2005!#REF!</definedName>
    <definedName name="_1540__123Graph_ACHART_68" hidden="1">[1]Livestock2005!#REF!</definedName>
    <definedName name="_155__123Graph_BCHART_54" hidden="1">[1]Livestock2005!#REF!</definedName>
    <definedName name="_156__123Graph_ACHART_19" hidden="1">[1]Livestock2005!#REF!</definedName>
    <definedName name="_156__123Graph_ACHART_69" hidden="1">[1]Livestock2005!#REF!</definedName>
    <definedName name="_156__123Graph_BCHART_56" hidden="1">[1]Livestock2005!#REF!</definedName>
    <definedName name="_1560__123Graph_ACHART_69" hidden="1">[1]Livestock2005!#REF!</definedName>
    <definedName name="_157__123Graph_BCHART_61" hidden="1">[1]Livestock2005!#REF!</definedName>
    <definedName name="_158__123Graph_ACHART_7" hidden="1">[1]Livestock2005!#REF!</definedName>
    <definedName name="_158__123Graph_BCHART_62" hidden="1">[1]Livestock2005!#REF!</definedName>
    <definedName name="_1580__123Graph_ACHART_7" hidden="1">[1]Livestock2005!#REF!</definedName>
    <definedName name="_159__123Graph_ACHART_2" hidden="1">[1]Livestock2005!#REF!</definedName>
    <definedName name="_159__123Graph_BCHART_65" hidden="1">[1]Livestock2005!#REF!</definedName>
    <definedName name="_16__123Graph_ACHART_114" hidden="1">[1]Livestock2005!#REF!</definedName>
    <definedName name="_16__123Graph_ACHART_127" hidden="1">[1]Livestock2005!#REF!</definedName>
    <definedName name="_160__123Graph_ACHART_114" hidden="1">[1]Livestock2005!#REF!</definedName>
    <definedName name="_160__123Graph_ACHART_70" hidden="1">[1]Livestock2005!#REF!</definedName>
    <definedName name="_160__123Graph_BCHART_66" hidden="1">[1]Livestock2005!#REF!</definedName>
    <definedName name="_1600__123Graph_ACHART_70" hidden="1">[1]Livestock2005!#REF!</definedName>
    <definedName name="_161__123Graph_BCHART_68" hidden="1">[1]Livestock2005!#REF!</definedName>
    <definedName name="_162__123Graph_ACHART_20" hidden="1">[1]Livestock2005!#REF!</definedName>
    <definedName name="_162__123Graph_ACHART_71" hidden="1">[1]Livestock2005!#REF!</definedName>
    <definedName name="_162__123Graph_BCHART_69" hidden="1">[1]Livestock2005!#REF!</definedName>
    <definedName name="_1620__123Graph_ACHART_71" hidden="1">[1]Livestock2005!#REF!</definedName>
    <definedName name="_163__123Graph_BCHART_73" hidden="1">[1]Livestock2005!#REF!</definedName>
    <definedName name="_164__123Graph_ACHART_72" hidden="1">[1]Livestock2005!#REF!</definedName>
    <definedName name="_164__123Graph_BCHART_74" hidden="1">[1]Livestock2005!#REF!</definedName>
    <definedName name="_1640__123Graph_ACHART_72" hidden="1">[1]Livestock2005!#REF!</definedName>
    <definedName name="_165__123Graph_ACHART_21" hidden="1">[1]Livestock2005!#REF!</definedName>
    <definedName name="_165__123Graph_BCHART_75" hidden="1">[1]Livestock2005!#REF!</definedName>
    <definedName name="_166__123Graph_ACHART_73" hidden="1">[1]Livestock2005!#REF!</definedName>
    <definedName name="_166__123Graph_BCHART_76" hidden="1">[1]Livestock2005!#REF!</definedName>
    <definedName name="_1660__123Graph_ACHART_73" hidden="1">[1]Livestock2005!#REF!</definedName>
    <definedName name="_167__123Graph_BCHART_77" hidden="1">[1]Livestock2005!#REF!</definedName>
    <definedName name="_168__123Graph_ACHART_22" hidden="1">[1]Livestock2005!#REF!</definedName>
    <definedName name="_168__123Graph_ACHART_74" hidden="1">[1]Livestock2005!#REF!</definedName>
    <definedName name="_168__123Graph_BCHART_78" hidden="1">[1]Livestock2005!#REF!</definedName>
    <definedName name="_1680__123Graph_ACHART_74" hidden="1">[1]Livestock2005!#REF!</definedName>
    <definedName name="_169__123Graph_BCHART_80" hidden="1">[1]Livestock2005!#REF!</definedName>
    <definedName name="_17__123Graph_ACHART_128" hidden="1">[1]Livestock2005!#REF!</definedName>
    <definedName name="_170__123Graph_ACHART_75" hidden="1">[1]Livestock2005!#REF!</definedName>
    <definedName name="_170__123Graph_BCHART_81" hidden="1">[1]Livestock2005!#REF!</definedName>
    <definedName name="_1700__123Graph_ACHART_75" hidden="1">[1]Livestock2005!#REF!</definedName>
    <definedName name="_171__123Graph_ACHART_23" hidden="1">[1]Livestock2005!#REF!</definedName>
    <definedName name="_171__123Graph_BCHART_82" hidden="1">[1]Livestock2005!#REF!</definedName>
    <definedName name="_172__123Graph_ACHART_76" hidden="1">[1]Livestock2005!#REF!</definedName>
    <definedName name="_172__123Graph_BCHART_91" hidden="1">[1]Livestock2005!#REF!</definedName>
    <definedName name="_1720__123Graph_ACHART_76" hidden="1">[1]Livestock2005!#REF!</definedName>
    <definedName name="_173__123Graph_BCHART_93" hidden="1">[1]Livestock2005!#REF!</definedName>
    <definedName name="_174__123Graph_ACHART_3" hidden="1">[1]Livestock2005!#REF!</definedName>
    <definedName name="_174__123Graph_ACHART_77" hidden="1">[1]Livestock2005!#REF!</definedName>
    <definedName name="_174__123Graph_BCHART_99" hidden="1">[1]Livestock2005!#REF!</definedName>
    <definedName name="_1740__123Graph_ACHART_77" hidden="1">[1]Livestock2005!#REF!</definedName>
    <definedName name="_175__123Graph_CCHART_18" hidden="1">[1]Livestock2005!#REF!</definedName>
    <definedName name="_176__123Graph_ACHART_78" hidden="1">[1]Livestock2005!#REF!</definedName>
    <definedName name="_176__123Graph_CCHART_19" hidden="1">[1]Livestock2005!#REF!</definedName>
    <definedName name="_1760__123Graph_ACHART_78" hidden="1">[1]Livestock2005!#REF!</definedName>
    <definedName name="_177__123Graph_ACHART_39" hidden="1">[1]Livestock2005!#REF!</definedName>
    <definedName name="_177__123Graph_CCHART_20" hidden="1">[1]Livestock2005!#REF!</definedName>
    <definedName name="_178__123Graph_ACHART_8" hidden="1">[1]Livestock2005!#REF!</definedName>
    <definedName name="_178__123Graph_CCHART_21" hidden="1">[1]Livestock2005!#REF!</definedName>
    <definedName name="_1780__123Graph_ACHART_8" hidden="1">[1]Livestock2005!#REF!</definedName>
    <definedName name="_179__123Graph_CCHART_22" hidden="1">[1]Livestock2005!#REF!</definedName>
    <definedName name="_18__123Graph_ACHART_11" hidden="1">[1]Livestock2005!#REF!</definedName>
    <definedName name="_18__123Graph_ACHART_115" hidden="1">[1]Livestock2005!#REF!</definedName>
    <definedName name="_18__123Graph_ACHART_129" hidden="1">[1]Livestock2005!#REF!</definedName>
    <definedName name="_180__123Graph_ACHART_115" hidden="1">[1]Livestock2005!#REF!</definedName>
    <definedName name="_180__123Graph_ACHART_4" hidden="1">[1]Livestock2005!#REF!</definedName>
    <definedName name="_180__123Graph_ACHART_80" hidden="1">[1]Livestock2005!#REF!</definedName>
    <definedName name="_180__123Graph_CCHART_39" hidden="1">[1]Livestock2005!#REF!</definedName>
    <definedName name="_1800__123Graph_ACHART_80" hidden="1">[1]Livestock2005!#REF!</definedName>
    <definedName name="_181__123Graph_CCHART_45" hidden="1">[1]Livestock2005!#REF!</definedName>
    <definedName name="_182__123Graph_ACHART_81" hidden="1">[1]Livestock2005!#REF!</definedName>
    <definedName name="_182__123Graph_CCHART_46" hidden="1">[1]Livestock2005!#REF!</definedName>
    <definedName name="_1820__123Graph_ACHART_81" hidden="1">[1]Livestock2005!#REF!</definedName>
    <definedName name="_183__123Graph_ACHART_47" hidden="1">[1]Livestock2005!#REF!</definedName>
    <definedName name="_183__123Graph_CCHART_52" hidden="1">[1]Livestock2005!#REF!</definedName>
    <definedName name="_184__123Graph_ACHART_82" hidden="1">[1]Livestock2005!#REF!</definedName>
    <definedName name="_184__123Graph_CCHART_53" hidden="1">[1]Livestock2005!#REF!</definedName>
    <definedName name="_1840__123Graph_ACHART_82" hidden="1">[1]Livestock2005!#REF!</definedName>
    <definedName name="_185__123Graph_CCHART_54" hidden="1">[1]Livestock2005!#REF!</definedName>
    <definedName name="_186__123Graph_ACHART_48" hidden="1">[1]Livestock2005!#REF!</definedName>
    <definedName name="_186__123Graph_ACHART_87" hidden="1">[1]Livestock2005!#REF!</definedName>
    <definedName name="_186__123Graph_CCHART_62" hidden="1">[1]Livestock2005!#REF!</definedName>
    <definedName name="_1860__123Graph_ACHART_87" hidden="1">[1]Livestock2005!#REF!</definedName>
    <definedName name="_187__123Graph_CCHART_68" hidden="1">[1]Livestock2005!#REF!</definedName>
    <definedName name="_188__123Graph_ACHART_89" hidden="1">[1]Livestock2005!#REF!</definedName>
    <definedName name="_188__123Graph_CCHART_69" hidden="1">[1]Livestock2005!#REF!</definedName>
    <definedName name="_1880__123Graph_ACHART_89" hidden="1">[1]Livestock2005!#REF!</definedName>
    <definedName name="_189__123Graph_ACHART_49" hidden="1">[1]Livestock2005!#REF!</definedName>
    <definedName name="_189__123Graph_CCHART_71" hidden="1">[1]Livestock2005!#REF!</definedName>
    <definedName name="_19__123Graph_ACHART_13" hidden="1">[1]Livestock2005!#REF!</definedName>
    <definedName name="_190__123Graph_ACHART_9" hidden="1">[1]Livestock2005!#REF!</definedName>
    <definedName name="_190__123Graph_CCHART_73" hidden="1">[1]Livestock2005!#REF!</definedName>
    <definedName name="_1900__123Graph_ACHART_9" hidden="1">[1]Livestock2005!#REF!</definedName>
    <definedName name="_191__123Graph_CCHART_74" hidden="1">[1]Livestock2005!#REF!</definedName>
    <definedName name="_192__123Graph_ACHART_5" hidden="1">[1]Livestock2005!#REF!</definedName>
    <definedName name="_192__123Graph_ACHART_90" hidden="1">[1]Livestock2005!#REF!</definedName>
    <definedName name="_192__123Graph_CCHART_75" hidden="1">[1]Livestock2005!#REF!</definedName>
    <definedName name="_1920__123Graph_ACHART_90" hidden="1">[1]Livestock2005!#REF!</definedName>
    <definedName name="_193__123Graph_CCHART_76" hidden="1">[1]Livestock2005!#REF!</definedName>
    <definedName name="_194__123Graph_ACHART_94" hidden="1">[1]Livestock2005!#REF!</definedName>
    <definedName name="_194__123Graph_CCHART_78" hidden="1">[1]Livestock2005!#REF!</definedName>
    <definedName name="_1940__123Graph_ACHART_94" hidden="1">[1]Livestock2005!#REF!</definedName>
    <definedName name="_195__123Graph_ACHART_50" hidden="1">[1]Livestock2005!#REF!</definedName>
    <definedName name="_195__123Graph_CCHART_80" hidden="1">[1]Livestock2005!#REF!</definedName>
    <definedName name="_196__123Graph_ACHART_95" hidden="1">[1]Livestock2005!#REF!</definedName>
    <definedName name="_196__123Graph_CCHART_81" hidden="1">[1]Livestock2005!#REF!</definedName>
    <definedName name="_1960__123Graph_ACHART_95" hidden="1">[1]Livestock2005!#REF!</definedName>
    <definedName name="_197__123Graph_CCHART_82" hidden="1">[1]Livestock2005!#REF!</definedName>
    <definedName name="_198__123Graph_ACHART_51" hidden="1">[1]Livestock2005!#REF!</definedName>
    <definedName name="_198__123Graph_ACHART_98" hidden="1">[1]Livestock2005!#REF!</definedName>
    <definedName name="_198__123Graph_DCHART_34" hidden="1">[1]Livestock2005!#REF!</definedName>
    <definedName name="_1980__123Graph_ACHART_98" hidden="1">[1]Livestock2005!#REF!</definedName>
    <definedName name="_199__123Graph_DCHART_39" hidden="1">[1]Livestock2005!#REF!</definedName>
    <definedName name="_2__123Graph_ACHART_1" hidden="1">[1]Livestock2005!#REF!</definedName>
    <definedName name="_2__123Graph_ACHART_10" hidden="1">[1]Livestock2005!#REF!</definedName>
    <definedName name="_20__123Graph_ACHART_1" hidden="1">[1]Livestock2005!#REF!</definedName>
    <definedName name="_20__123Graph_ACHART_119" hidden="1">[1]Livestock2005!#REF!</definedName>
    <definedName name="_20__123Graph_ACHART_130" hidden="1">[1]Livestock2005!#REF!</definedName>
    <definedName name="_200__123Graph_ACHART_119" hidden="1">[1]Livestock2005!#REF!</definedName>
    <definedName name="_200__123Graph_BCHART_102" hidden="1">[1]Livestock2005!#REF!</definedName>
    <definedName name="_200__123Graph_DCHART_45" hidden="1">[1]Livestock2005!#REF!</definedName>
    <definedName name="_2000__123Graph_BCHART_102" hidden="1">[1]Livestock2005!#REF!</definedName>
    <definedName name="_201__123Graph_ACHART_52" hidden="1">[1]Livestock2005!#REF!</definedName>
    <definedName name="_201__123Graph_DCHART_47" hidden="1">[1]Livestock2005!#REF!</definedName>
    <definedName name="_202__123Graph_BCHART_105" hidden="1">[1]Livestock2005!#REF!</definedName>
    <definedName name="_202__123Graph_DCHART_52" hidden="1">[1]Livestock2005!#REF!</definedName>
    <definedName name="_2020__123Graph_BCHART_105" hidden="1">[1]Livestock2005!#REF!</definedName>
    <definedName name="_203__123Graph_DCHART_53" hidden="1">[1]Livestock2005!#REF!</definedName>
    <definedName name="_204__123Graph_ACHART_53" hidden="1">[1]Livestock2005!#REF!</definedName>
    <definedName name="_204__123Graph_BCHART_109" hidden="1">[1]Livestock2005!#REF!</definedName>
    <definedName name="_204__123Graph_DCHART_54" hidden="1">[1]Livestock2005!#REF!</definedName>
    <definedName name="_2040__123Graph_BCHART_109" hidden="1">[1]Livestock2005!#REF!</definedName>
    <definedName name="_205__123Graph_DCHART_55" hidden="1">[1]Livestock2005!#REF!</definedName>
    <definedName name="_206__123Graph_BCHART_115" hidden="1">[1]Livestock2005!#REF!</definedName>
    <definedName name="_206__123Graph_DCHART_57" hidden="1">[1]Livestock2005!#REF!</definedName>
    <definedName name="_2060__123Graph_BCHART_115" hidden="1">[1]Livestock2005!#REF!</definedName>
    <definedName name="_207__123Graph_ACHART_54" hidden="1">[1]Livestock2005!#REF!</definedName>
    <definedName name="_207__123Graph_DCHART_58" hidden="1">[1]Livestock2005!#REF!</definedName>
    <definedName name="_208__123Graph_BCHART_118" hidden="1">[1]Livestock2005!#REF!</definedName>
    <definedName name="_208__123Graph_DCHART_59" hidden="1">[1]Livestock2005!#REF!</definedName>
    <definedName name="_2080__123Graph_BCHART_118" hidden="1">[1]Livestock2005!#REF!</definedName>
    <definedName name="_209__123Graph_DCHART_68" hidden="1">[1]Livestock2005!#REF!</definedName>
    <definedName name="_21__123Graph_ACHART_110" hidden="1">[1]Livestock2005!#REF!</definedName>
    <definedName name="_21__123Graph_ACHART_131" hidden="1">[1]Livestock2005!#REF!</definedName>
    <definedName name="_210__123Graph_ACHART_56" hidden="1">[1]Livestock2005!#REF!</definedName>
    <definedName name="_210__123Graph_BCHART_12" hidden="1">[1]Livestock2005!#REF!</definedName>
    <definedName name="_210__123Graph_DCHART_70" hidden="1">[1]Livestock2005!#REF!</definedName>
    <definedName name="_2100__123Graph_BCHART_12" hidden="1">[1]Livestock2005!#REF!</definedName>
    <definedName name="_211__123Graph_DCHART_72" hidden="1">[1]Livestock2005!#REF!</definedName>
    <definedName name="_212__123Graph_BCHART_122" hidden="1">[1]Livestock2005!#REF!</definedName>
    <definedName name="_212__123Graph_DCHART_73" hidden="1">[1]Livestock2005!#REF!</definedName>
    <definedName name="_2120__123Graph_BCHART_122" hidden="1">[1]Livestock2005!#REF!</definedName>
    <definedName name="_213__123Graph_ACHART_57" hidden="1">[1]Livestock2005!#REF!</definedName>
    <definedName name="_213__123Graph_ECHART_45" hidden="1">[1]Livestock2005!#REF!</definedName>
    <definedName name="_214__123Graph_BCHART_129" hidden="1">[1]Livestock2005!#REF!</definedName>
    <definedName name="_214__123Graph_ECHART_46" hidden="1">[1]Livestock2005!#REF!</definedName>
    <definedName name="_2140__123Graph_BCHART_129" hidden="1">[1]Livestock2005!#REF!</definedName>
    <definedName name="_215__123Graph_ECHART_52" hidden="1">[1]Livestock2005!#REF!</definedName>
    <definedName name="_216__123Graph_ACHART_58" hidden="1">[1]Livestock2005!#REF!</definedName>
    <definedName name="_216__123Graph_BCHART_13" hidden="1">[1]Livestock2005!#REF!</definedName>
    <definedName name="_216__123Graph_ECHART_53" hidden="1">[1]Livestock2005!#REF!</definedName>
    <definedName name="_2160__123Graph_BCHART_13" hidden="1">[1]Livestock2005!#REF!</definedName>
    <definedName name="_217__123Graph_ECHART_54" hidden="1">[1]Livestock2005!#REF!</definedName>
    <definedName name="_218__123Graph_BCHART_130" hidden="1">[1]Livestock2005!#REF!</definedName>
    <definedName name="_218__123Graph_ECHART_55" hidden="1">[1]Livestock2005!#REF!</definedName>
    <definedName name="_2180__123Graph_BCHART_130" hidden="1">[1]Livestock2005!#REF!</definedName>
    <definedName name="_219__123Graph_ACHART_59" hidden="1">[1]Livestock2005!#REF!</definedName>
    <definedName name="_219__123Graph_ECHART_57" hidden="1">[1]Livestock2005!#REF!</definedName>
    <definedName name="_22__123Graph_ACHART_12" hidden="1">[1]Livestock2005!#REF!</definedName>
    <definedName name="_22__123Graph_ACHART_132" hidden="1">[1]Livestock2005!#REF!</definedName>
    <definedName name="_220__123Graph_ACHART_12" hidden="1">[1]Livestock2005!#REF!</definedName>
    <definedName name="_220__123Graph_BCHART_131" hidden="1">[1]Livestock2005!#REF!</definedName>
    <definedName name="_220__123Graph_ECHART_58" hidden="1">[1]Livestock2005!#REF!</definedName>
    <definedName name="_2200__123Graph_BCHART_131" hidden="1">[1]Livestock2005!#REF!</definedName>
    <definedName name="_221__123Graph_ECHART_60" hidden="1">[1]Livestock2005!#REF!</definedName>
    <definedName name="_222__123Graph_ACHART_6" hidden="1">[1]Livestock2005!#REF!</definedName>
    <definedName name="_222__123Graph_BCHART_132" hidden="1">[1]Livestock2005!#REF!</definedName>
    <definedName name="_222__123Graph_ECHART_70" hidden="1">[1]Livestock2005!#REF!</definedName>
    <definedName name="_2220__123Graph_BCHART_132" hidden="1">[1]Livestock2005!#REF!</definedName>
    <definedName name="_223__123Graph_ECHART_71" hidden="1">[1]Livestock2005!#REF!</definedName>
    <definedName name="_224__123Graph_BCHART_133" hidden="1">[1]Livestock2005!#REF!</definedName>
    <definedName name="_224__123Graph_ECHART_72" hidden="1">[1]Livestock2005!#REF!</definedName>
    <definedName name="_2240__123Graph_BCHART_133" hidden="1">[1]Livestock2005!#REF!</definedName>
    <definedName name="_225__123Graph_ACHART_61" hidden="1">[1]Livestock2005!#REF!</definedName>
    <definedName name="_225__123Graph_FCHART_53" hidden="1">[1]Livestock2005!#REF!</definedName>
    <definedName name="_226__123Graph_BCHART_134" hidden="1">[1]Livestock2005!#REF!</definedName>
    <definedName name="_226__123Graph_FCHART_54" hidden="1">[1]Livestock2005!#REF!</definedName>
    <definedName name="_2260__123Graph_BCHART_134" hidden="1">[1]Livestock2005!#REF!</definedName>
    <definedName name="_227__123Graph_FCHART_55" hidden="1">[1]Livestock2005!#REF!</definedName>
    <definedName name="_228__123Graph_ACHART_62" hidden="1">[1]Livestock2005!#REF!</definedName>
    <definedName name="_228__123Graph_BCHART_135" hidden="1">[1]Livestock2005!#REF!</definedName>
    <definedName name="_228__123Graph_FCHART_61" hidden="1">[1]Livestock2005!#REF!</definedName>
    <definedName name="_2280__123Graph_BCHART_135" hidden="1">[1]Livestock2005!#REF!</definedName>
    <definedName name="_229__123Graph_FCHART_63" hidden="1">[1]Livestock2005!#REF!</definedName>
    <definedName name="_23__123Graph_ACHART_133" hidden="1">[1]Livestock2005!#REF!</definedName>
    <definedName name="_230__123Graph_BCHART_136" hidden="1">[1]Livestock2005!#REF!</definedName>
    <definedName name="_230__123Graph_XCHART_1" hidden="1">[1]Livestock2005!#REF!</definedName>
    <definedName name="_2300__123Graph_BCHART_136" hidden="1">[1]Livestock2005!#REF!</definedName>
    <definedName name="_231__123Graph_ACHART_68" hidden="1">[1]Livestock2005!#REF!</definedName>
    <definedName name="_231__123Graph_XCHART_10" hidden="1">[1]Livestock2005!#REF!</definedName>
    <definedName name="_232__123Graph_BCHART_137" hidden="1">[1]Livestock2005!#REF!</definedName>
    <definedName name="_232__123Graph_XCHART_11" hidden="1">[1]Livestock2005!#REF!</definedName>
    <definedName name="_2320__123Graph_BCHART_137" hidden="1">[1]Livestock2005!#REF!</definedName>
    <definedName name="_233__123Graph_XCHART_12" hidden="1">[1]Livestock2005!#REF!</definedName>
    <definedName name="_234__123Graph_ACHART_69" hidden="1">[1]Livestock2005!#REF!</definedName>
    <definedName name="_234__123Graph_BCHART_138" hidden="1">[1]Livestock2005!#REF!</definedName>
    <definedName name="_234__123Graph_XCHART_123" hidden="1">[1]Livestock2005!#REF!</definedName>
    <definedName name="_2340__123Graph_BCHART_138" hidden="1">[1]Livestock2005!#REF!</definedName>
    <definedName name="_235__123Graph_XCHART_124" hidden="1">[1]Livestock2005!#REF!</definedName>
    <definedName name="_236__123Graph_BCHART_139" hidden="1">[1]Livestock2005!#REF!</definedName>
    <definedName name="_236__123Graph_XCHART_125" hidden="1">[1]Livestock2005!#REF!</definedName>
    <definedName name="_2360__123Graph_BCHART_139" hidden="1">[1]Livestock2005!#REF!</definedName>
    <definedName name="_237__123Graph_ACHART_7" hidden="1">[1]Livestock2005!#REF!</definedName>
    <definedName name="_237__123Graph_XCHART_126" hidden="1">[1]Livestock2005!#REF!</definedName>
    <definedName name="_238__123Graph_BCHART_14" hidden="1">[1]Livestock2005!#REF!</definedName>
    <definedName name="_238__123Graph_XCHART_127" hidden="1">[1]Livestock2005!#REF!</definedName>
    <definedName name="_2380__123Graph_BCHART_14" hidden="1">[1]Livestock2005!#REF!</definedName>
    <definedName name="_239__123Graph_XCHART_128" hidden="1">[1]Livestock2005!#REF!</definedName>
    <definedName name="_24__123Graph_ACHART_114" hidden="1">[1]Livestock2005!#REF!</definedName>
    <definedName name="_24__123Graph_ACHART_123" hidden="1">[1]Livestock2005!#REF!</definedName>
    <definedName name="_24__123Graph_ACHART_134" hidden="1">[1]Livestock2005!#REF!</definedName>
    <definedName name="_240__123Graph_ACHART_123" hidden="1">[1]Livestock2005!#REF!</definedName>
    <definedName name="_240__123Graph_ACHART_70" hidden="1">[1]Livestock2005!#REF!</definedName>
    <definedName name="_240__123Graph_BCHART_140" hidden="1">[1]Livestock2005!#REF!</definedName>
    <definedName name="_240__123Graph_XCHART_129" hidden="1">[1]Livestock2005!#REF!</definedName>
    <definedName name="_2400__123Graph_BCHART_140" hidden="1">[1]Livestock2005!#REF!</definedName>
    <definedName name="_241__123Graph_XCHART_13" hidden="1">[1]Livestock2005!#REF!</definedName>
    <definedName name="_242__123Graph_BCHART_141" hidden="1">[1]Livestock2005!#REF!</definedName>
    <definedName name="_242__123Graph_XCHART_130" hidden="1">[1]Livestock2005!#REF!</definedName>
    <definedName name="_2420__123Graph_BCHART_141" hidden="1">[1]Livestock2005!#REF!</definedName>
    <definedName name="_243__123Graph_ACHART_71" hidden="1">[1]Livestock2005!#REF!</definedName>
    <definedName name="_243__123Graph_XCHART_131" hidden="1">[1]Livestock2005!#REF!</definedName>
    <definedName name="_244__123Graph_BCHART_142" hidden="1">[1]Livestock2005!#REF!</definedName>
    <definedName name="_244__123Graph_XCHART_132" hidden="1">[1]Livestock2005!#REF!</definedName>
    <definedName name="_2440__123Graph_BCHART_142" hidden="1">[1]Livestock2005!#REF!</definedName>
    <definedName name="_245__123Graph_XCHART_133" hidden="1">[1]Livestock2005!#REF!</definedName>
    <definedName name="_246__123Graph_ACHART_72" hidden="1">[1]Livestock2005!#REF!</definedName>
    <definedName name="_246__123Graph_BCHART_143" hidden="1">[1]Livestock2005!#REF!</definedName>
    <definedName name="_246__123Graph_XCHART_134" hidden="1">[1]Livestock2005!#REF!</definedName>
    <definedName name="_2460__123Graph_BCHART_143" hidden="1">[1]Livestock2005!#REF!</definedName>
    <definedName name="_247__123Graph_XCHART_135" hidden="1">[1]Livestock2005!#REF!</definedName>
    <definedName name="_248__123Graph_BCHART_144" hidden="1">[1]Livestock2005!#REF!</definedName>
    <definedName name="_248__123Graph_XCHART_136" hidden="1">[1]Livestock2005!#REF!</definedName>
    <definedName name="_2480__123Graph_BCHART_144" hidden="1">[1]Livestock2005!#REF!</definedName>
    <definedName name="_249__123Graph_ACHART_73" hidden="1">[1]Livestock2005!#REF!</definedName>
    <definedName name="_249__123Graph_XCHART_137" hidden="1">[1]Livestock2005!#REF!</definedName>
    <definedName name="_25__123Graph_ACHART_135" hidden="1">[1]Livestock2005!#REF!</definedName>
    <definedName name="_250__123Graph_BCHART_145" hidden="1">[1]Livestock2005!#REF!</definedName>
    <definedName name="_250__123Graph_XCHART_138" hidden="1">[1]Livestock2005!#REF!</definedName>
    <definedName name="_2500__123Graph_BCHART_145" hidden="1">[1]Livestock2005!#REF!</definedName>
    <definedName name="_251__123Graph_XCHART_139" hidden="1">[1]Livestock2005!#REF!</definedName>
    <definedName name="_252__123Graph_ACHART_74" hidden="1">[1]Livestock2005!#REF!</definedName>
    <definedName name="_252__123Graph_BCHART_146" hidden="1">[1]Livestock2005!#REF!</definedName>
    <definedName name="_252__123Graph_XCHART_14" hidden="1">[1]Livestock2005!#REF!</definedName>
    <definedName name="_2520__123Graph_BCHART_146" hidden="1">[1]Livestock2005!#REF!</definedName>
    <definedName name="_253__123Graph_XCHART_140" hidden="1">[1]Livestock2005!#REF!</definedName>
    <definedName name="_254__123Graph_BCHART_147" hidden="1">[1]Livestock2005!#REF!</definedName>
    <definedName name="_254__123Graph_XCHART_141" hidden="1">[1]Livestock2005!#REF!</definedName>
    <definedName name="_2540__123Graph_BCHART_147" hidden="1">[1]Livestock2005!#REF!</definedName>
    <definedName name="_255__123Graph_ACHART_75" hidden="1">[1]Livestock2005!#REF!</definedName>
    <definedName name="_255__123Graph_XCHART_142" hidden="1">[1]Livestock2005!#REF!</definedName>
    <definedName name="_256__123Graph_BCHART_148" hidden="1">[1]Livestock2005!#REF!</definedName>
    <definedName name="_256__123Graph_XCHART_143" hidden="1">[1]Livestock2005!#REF!</definedName>
    <definedName name="_2560__123Graph_BCHART_148" hidden="1">[1]Livestock2005!#REF!</definedName>
    <definedName name="_257__123Graph_XCHART_144" hidden="1">[1]Livestock2005!#REF!</definedName>
    <definedName name="_258__123Graph_ACHART_76" hidden="1">[1]Livestock2005!#REF!</definedName>
    <definedName name="_258__123Graph_BCHART_149" hidden="1">[1]Livestock2005!#REF!</definedName>
    <definedName name="_258__123Graph_XCHART_145" hidden="1">[1]Livestock2005!#REF!</definedName>
    <definedName name="_2580__123Graph_BCHART_149" hidden="1">[1]Livestock2005!#REF!</definedName>
    <definedName name="_259__123Graph_XCHART_146" hidden="1">[1]Livestock2005!#REF!</definedName>
    <definedName name="_26__123Graph_ACHART_124" hidden="1">[1]Livestock2005!#REF!</definedName>
    <definedName name="_26__123Graph_ACHART_136" hidden="1">[1]Livestock2005!#REF!</definedName>
    <definedName name="_260__123Graph_ACHART_124" hidden="1">[1]Livestock2005!#REF!</definedName>
    <definedName name="_260__123Graph_BCHART_15" hidden="1">[1]Livestock2005!#REF!</definedName>
    <definedName name="_260__123Graph_XCHART_147" hidden="1">[1]Livestock2005!#REF!</definedName>
    <definedName name="_2600__123Graph_BCHART_15" hidden="1">[1]Livestock2005!#REF!</definedName>
    <definedName name="_261__123Graph_ACHART_77" hidden="1">[1]Livestock2005!#REF!</definedName>
    <definedName name="_261__123Graph_XCHART_148" hidden="1">[1]Livestock2005!#REF!</definedName>
    <definedName name="_262__123Graph_BCHART_150" hidden="1">[1]Livestock2005!#REF!</definedName>
    <definedName name="_262__123Graph_XCHART_149" hidden="1">[1]Livestock2005!#REF!</definedName>
    <definedName name="_2620__123Graph_BCHART_150" hidden="1">[1]Livestock2005!#REF!</definedName>
    <definedName name="_263__123Graph_XCHART_15" hidden="1">[1]Livestock2005!#REF!</definedName>
    <definedName name="_264__123Graph_ACHART_78" hidden="1">[1]Livestock2005!#REF!</definedName>
    <definedName name="_264__123Graph_BCHART_151" hidden="1">[1]Livestock2005!#REF!</definedName>
    <definedName name="_264__123Graph_XCHART_150" hidden="1">[1]Livestock2005!#REF!</definedName>
    <definedName name="_2640__123Graph_BCHART_151" hidden="1">[1]Livestock2005!#REF!</definedName>
    <definedName name="_265__123Graph_XCHART_151" hidden="1">[1]Livestock2005!#REF!</definedName>
    <definedName name="_266__123Graph_BCHART_152" hidden="1">[1]Livestock2005!#REF!</definedName>
    <definedName name="_266__123Graph_XCHART_152" hidden="1">[1]Livestock2005!#REF!</definedName>
    <definedName name="_2660__123Graph_BCHART_152" hidden="1">[1]Livestock2005!#REF!</definedName>
    <definedName name="_267__123Graph_ACHART_8" hidden="1">[1]Livestock2005!#REF!</definedName>
    <definedName name="_267__123Graph_XCHART_153" hidden="1">[1]Livestock2005!#REF!</definedName>
    <definedName name="_268__123Graph_BCHART_153" hidden="1">[1]Livestock2005!#REF!</definedName>
    <definedName name="_268__123Graph_XCHART_154" hidden="1">[1]Livestock2005!#REF!</definedName>
    <definedName name="_2680__123Graph_BCHART_153" hidden="1">[1]Livestock2005!#REF!</definedName>
    <definedName name="_269__123Graph_XCHART_155" hidden="1">[1]Livestock2005!#REF!</definedName>
    <definedName name="_27__123Graph_ACHART_115" hidden="1">[1]Livestock2005!#REF!</definedName>
    <definedName name="_27__123Graph_ACHART_137" hidden="1">[1]Livestock2005!#REF!</definedName>
    <definedName name="_270__123Graph_ACHART_80" hidden="1">[1]Livestock2005!#REF!</definedName>
    <definedName name="_270__123Graph_BCHART_154" hidden="1">[1]Livestock2005!#REF!</definedName>
    <definedName name="_270__123Graph_XCHART_156" hidden="1">[1]Livestock2005!#REF!</definedName>
    <definedName name="_2700__123Graph_BCHART_154" hidden="1">[1]Livestock2005!#REF!</definedName>
    <definedName name="_271__123Graph_XCHART_16" hidden="1">[1]Livestock2005!#REF!</definedName>
    <definedName name="_272__123Graph_BCHART_155" hidden="1">[1]Livestock2005!#REF!</definedName>
    <definedName name="_272__123Graph_XCHART_17" hidden="1">[1]Livestock2005!#REF!</definedName>
    <definedName name="_2720__123Graph_BCHART_155" hidden="1">[1]Livestock2005!#REF!</definedName>
    <definedName name="_273__123Graph_ACHART_81" hidden="1">[1]Livestock2005!#REF!</definedName>
    <definedName name="_273__123Graph_XCHART_18" hidden="1">[1]Livestock2005!#REF!</definedName>
    <definedName name="_274__123Graph_BCHART_156" hidden="1">[1]Livestock2005!#REF!</definedName>
    <definedName name="_274__123Graph_XCHART_19" hidden="1">[1]Livestock2005!#REF!</definedName>
    <definedName name="_2740__123Graph_BCHART_156" hidden="1">[1]Livestock2005!#REF!</definedName>
    <definedName name="_275__123Graph_XCHART_2" hidden="1">[1]Livestock2005!#REF!</definedName>
    <definedName name="_276__123Graph_ACHART_82" hidden="1">[1]Livestock2005!#REF!</definedName>
    <definedName name="_276__123Graph_BCHART_16" hidden="1">[1]Livestock2005!#REF!</definedName>
    <definedName name="_276__123Graph_XCHART_20" hidden="1">[1]Livestock2005!#REF!</definedName>
    <definedName name="_2760__123Graph_BCHART_16" hidden="1">[1]Livestock2005!#REF!</definedName>
    <definedName name="_277__123Graph_XCHART_21" hidden="1">[1]Livestock2005!#REF!</definedName>
    <definedName name="_278__123Graph_BCHART_18" hidden="1">[1]Livestock2005!#REF!</definedName>
    <definedName name="_278__123Graph_XCHART_22" hidden="1">[1]Livestock2005!#REF!</definedName>
    <definedName name="_2780__123Graph_BCHART_18" hidden="1">[1]Livestock2005!#REF!</definedName>
    <definedName name="_279__123Graph_ACHART_87" hidden="1">[1]Livestock2005!#REF!</definedName>
    <definedName name="_279__123Graph_XCHART_23" hidden="1">[1]Livestock2005!#REF!</definedName>
    <definedName name="_28__123Graph_ACHART_125" hidden="1">[1]Livestock2005!#REF!</definedName>
    <definedName name="_28__123Graph_ACHART_138" hidden="1">[1]Livestock2005!#REF!</definedName>
    <definedName name="_280__123Graph_ACHART_125" hidden="1">[1]Livestock2005!#REF!</definedName>
    <definedName name="_280__123Graph_BCHART_19" hidden="1">[1]Livestock2005!#REF!</definedName>
    <definedName name="_280__123Graph_XCHART_24" hidden="1">[1]Livestock2005!#REF!</definedName>
    <definedName name="_2800__123Graph_BCHART_19" hidden="1">[1]Livestock2005!#REF!</definedName>
    <definedName name="_281__123Graph_XCHART_3" hidden="1">[1]Livestock2005!#REF!</definedName>
    <definedName name="_282__123Graph_ACHART_89" hidden="1">[1]Livestock2005!#REF!</definedName>
    <definedName name="_282__123Graph_BCHART_20" hidden="1">[1]Livestock2005!#REF!</definedName>
    <definedName name="_282__123Graph_XCHART_4" hidden="1">[1]Livestock2005!#REF!</definedName>
    <definedName name="_2820__123Graph_BCHART_20" hidden="1">[1]Livestock2005!#REF!</definedName>
    <definedName name="_283__123Graph_XCHART_45" hidden="1">[1]Livestock2005!#REF!</definedName>
    <definedName name="_284__123Graph_BCHART_21" hidden="1">[1]Livestock2005!#REF!</definedName>
    <definedName name="_284__123Graph_XCHART_46" hidden="1">[1]Livestock2005!#REF!</definedName>
    <definedName name="_2840__123Graph_BCHART_21" hidden="1">[1]Livestock2005!#REF!</definedName>
    <definedName name="_285__123Graph_ACHART_9" hidden="1">[1]Livestock2005!#REF!</definedName>
    <definedName name="_285__123Graph_XCHART_47" hidden="1">[1]Livestock2005!#REF!</definedName>
    <definedName name="_286__123Graph_BCHART_22" hidden="1">[1]Livestock2005!#REF!</definedName>
    <definedName name="_286__123Graph_XCHART_48" hidden="1">[1]Livestock2005!#REF!</definedName>
    <definedName name="_2860__123Graph_BCHART_22" hidden="1">[1]Livestock2005!#REF!</definedName>
    <definedName name="_287__123Graph_XCHART_49" hidden="1">[1]Livestock2005!#REF!</definedName>
    <definedName name="_288__123Graph_ACHART_90" hidden="1">[1]Livestock2005!#REF!</definedName>
    <definedName name="_288__123Graph_BCHART_28" hidden="1">[1]Livestock2005!#REF!</definedName>
    <definedName name="_288__123Graph_XCHART_5" hidden="1">[1]Livestock2005!#REF!</definedName>
    <definedName name="_2880__123Graph_BCHART_28" hidden="1">[1]Livestock2005!#REF!</definedName>
    <definedName name="_289__123Graph_XCHART_50" hidden="1">[1]Livestock2005!#REF!</definedName>
    <definedName name="_29__123Graph_ACHART_139" hidden="1">[1]Livestock2005!#REF!</definedName>
    <definedName name="_290__123Graph_BCHART_36" hidden="1">[1]Livestock2005!#REF!</definedName>
    <definedName name="_290__123Graph_XCHART_51" hidden="1">[1]Livestock2005!#REF!</definedName>
    <definedName name="_2900__123Graph_BCHART_36" hidden="1">[1]Livestock2005!#REF!</definedName>
    <definedName name="_291__123Graph_ACHART_94" hidden="1">[1]Livestock2005!#REF!</definedName>
    <definedName name="_291__123Graph_XCHART_52" hidden="1">[1]Livestock2005!#REF!</definedName>
    <definedName name="_292__123Graph_BCHART_37" hidden="1">[1]Livestock2005!#REF!</definedName>
    <definedName name="_292__123Graph_XCHART_53" hidden="1">[1]Livestock2005!#REF!</definedName>
    <definedName name="_2920__123Graph_BCHART_37" hidden="1">[1]Livestock2005!#REF!</definedName>
    <definedName name="_293__123Graph_XCHART_54" hidden="1">[1]Livestock2005!#REF!</definedName>
    <definedName name="_294__123Graph_ACHART_95" hidden="1">[1]Livestock2005!#REF!</definedName>
    <definedName name="_294__123Graph_BCHART_38" hidden="1">[1]Livestock2005!#REF!</definedName>
    <definedName name="_294__123Graph_XCHART_55" hidden="1">[1]Livestock2005!#REF!</definedName>
    <definedName name="_2940__123Graph_BCHART_38" hidden="1">[1]Livestock2005!#REF!</definedName>
    <definedName name="_295__123Graph_XCHART_56" hidden="1">[1]Livestock2005!#REF!</definedName>
    <definedName name="_296__123Graph_BCHART_39" hidden="1">[1]Livestock2005!#REF!</definedName>
    <definedName name="_296__123Graph_XCHART_57" hidden="1">[1]Livestock2005!#REF!</definedName>
    <definedName name="_2960__123Graph_BCHART_39" hidden="1">[1]Livestock2005!#REF!</definedName>
    <definedName name="_297__123Graph_ACHART_98" hidden="1">[1]Livestock2005!#REF!</definedName>
    <definedName name="_297__123Graph_XCHART_58" hidden="1">[1]Livestock2005!#REF!</definedName>
    <definedName name="_298__123Graph_BCHART_42" hidden="1">[1]Livestock2005!#REF!</definedName>
    <definedName name="_298__123Graph_XCHART_59" hidden="1">[1]Livestock2005!#REF!</definedName>
    <definedName name="_2980__123Graph_BCHART_42" hidden="1">[1]Livestock2005!#REF!</definedName>
    <definedName name="_299__123Graph_XCHART_6" hidden="1">[1]Livestock2005!#REF!</definedName>
    <definedName name="_3__123Graph_ACHART_1" hidden="1">[1]Livestock2005!#REF!</definedName>
    <definedName name="_3__123Graph_ACHART_100" hidden="1">[1]Livestock2005!#REF!</definedName>
    <definedName name="_30__123Graph_ACHART_119" hidden="1">[1]Livestock2005!#REF!</definedName>
    <definedName name="_30__123Graph_ACHART_126" hidden="1">[1]Livestock2005!#REF!</definedName>
    <definedName name="_30__123Graph_ACHART_14" hidden="1">[1]Livestock2005!#REF!</definedName>
    <definedName name="_300__123Graph_ACHART_126" hidden="1">[1]Livestock2005!#REF!</definedName>
    <definedName name="_300__123Graph_BCHART_102" hidden="1">[1]Livestock2005!#REF!</definedName>
    <definedName name="_300__123Graph_BCHART_43" hidden="1">[1]Livestock2005!#REF!</definedName>
    <definedName name="_300__123Graph_XCHART_62" hidden="1">[1]Livestock2005!#REF!</definedName>
    <definedName name="_3000__123Graph_BCHART_43" hidden="1">[1]Livestock2005!#REF!</definedName>
    <definedName name="_301__123Graph_XCHART_68" hidden="1">[1]Livestock2005!#REF!</definedName>
    <definedName name="_302__123Graph_BCHART_44" hidden="1">[1]Livestock2005!#REF!</definedName>
    <definedName name="_302__123Graph_XCHART_69" hidden="1">[1]Livestock2005!#REF!</definedName>
    <definedName name="_3020__123Graph_BCHART_44" hidden="1">[1]Livestock2005!#REF!</definedName>
    <definedName name="_303__123Graph_BCHART_105" hidden="1">[1]Livestock2005!#REF!</definedName>
    <definedName name="_303__123Graph_XCHART_70" hidden="1">[1]Livestock2005!#REF!</definedName>
    <definedName name="_304__123Graph_BCHART_46" hidden="1">[1]Livestock2005!#REF!</definedName>
    <definedName name="_304__123Graph_XCHART_71" hidden="1">[1]Livestock2005!#REF!</definedName>
    <definedName name="_3040__123Graph_BCHART_46" hidden="1">[1]Livestock2005!#REF!</definedName>
    <definedName name="_305__123Graph_XCHART_73" hidden="1">[1]Livestock2005!#REF!</definedName>
    <definedName name="_306__123Graph_BCHART_109" hidden="1">[1]Livestock2005!#REF!</definedName>
    <definedName name="_306__123Graph_BCHART_48" hidden="1">[1]Livestock2005!#REF!</definedName>
    <definedName name="_306__123Graph_XCHART_74" hidden="1">[1]Livestock2005!#REF!</definedName>
    <definedName name="_3060__123Graph_BCHART_48" hidden="1">[1]Livestock2005!#REF!</definedName>
    <definedName name="_307__123Graph_XCHART_75" hidden="1">[1]Livestock2005!#REF!</definedName>
    <definedName name="_308__123Graph_BCHART_52" hidden="1">[1]Livestock2005!#REF!</definedName>
    <definedName name="_308__123Graph_XCHART_76" hidden="1">[1]Livestock2005!#REF!</definedName>
    <definedName name="_3080__123Graph_BCHART_52" hidden="1">[1]Livestock2005!#REF!</definedName>
    <definedName name="_309__123Graph_BCHART_115" hidden="1">[1]Livestock2005!#REF!</definedName>
    <definedName name="_309__123Graph_XCHART_77" hidden="1">[1]Livestock2005!#REF!</definedName>
    <definedName name="_31__123Graph_ACHART_140" hidden="1">[1]Livestock2005!#REF!</definedName>
    <definedName name="_310__123Graph_BCHART_54" hidden="1">[1]Livestock2005!#REF!</definedName>
    <definedName name="_310__123Graph_XCHART_78" hidden="1">[1]Livestock2005!#REF!</definedName>
    <definedName name="_3100__123Graph_BCHART_54" hidden="1">[1]Livestock2005!#REF!</definedName>
    <definedName name="_311__123Graph_XCHART_80" hidden="1">[1]Livestock2005!#REF!</definedName>
    <definedName name="_312__123Graph_BCHART_118" hidden="1">[1]Livestock2005!#REF!</definedName>
    <definedName name="_312__123Graph_BCHART_56" hidden="1">[1]Livestock2005!#REF!</definedName>
    <definedName name="_312__123Graph_XCHART_81" hidden="1">[1]Livestock2005!#REF!</definedName>
    <definedName name="_3120__123Graph_BCHART_56" hidden="1">[1]Livestock2005!#REF!</definedName>
    <definedName name="_313__123Graph_XCHART_82" hidden="1">[1]Livestock2005!#REF!</definedName>
    <definedName name="_314__123Graph_BCHART_61" hidden="1">[1]Livestock2005!#REF!</definedName>
    <definedName name="_3140__123Graph_BCHART_61" hidden="1">[1]Livestock2005!#REF!</definedName>
    <definedName name="_315__123Graph_BCHART_12" hidden="1">[1]Livestock2005!#REF!</definedName>
    <definedName name="_316__123Graph_BCHART_62" hidden="1">[1]Livestock2005!#REF!</definedName>
    <definedName name="_3160__123Graph_BCHART_62" hidden="1">[1]Livestock2005!#REF!</definedName>
    <definedName name="_318__123Graph_BCHART_122" hidden="1">[1]Livestock2005!#REF!</definedName>
    <definedName name="_318__123Graph_BCHART_65" hidden="1">[1]Livestock2005!#REF!</definedName>
    <definedName name="_3180__123Graph_BCHART_65" hidden="1">[1]Livestock2005!#REF!</definedName>
    <definedName name="_32__123Graph_ACHART_127" hidden="1">[1]Livestock2005!#REF!</definedName>
    <definedName name="_32__123Graph_ACHART_141" hidden="1">[1]Livestock2005!#REF!</definedName>
    <definedName name="_320__123Graph_ACHART_127" hidden="1">[1]Livestock2005!#REF!</definedName>
    <definedName name="_320__123Graph_BCHART_66" hidden="1">[1]Livestock2005!#REF!</definedName>
    <definedName name="_3200__123Graph_BCHART_66" hidden="1">[1]Livestock2005!#REF!</definedName>
    <definedName name="_321__123Graph_BCHART_129" hidden="1">[1]Livestock2005!#REF!</definedName>
    <definedName name="_322__123Graph_BCHART_68" hidden="1">[1]Livestock2005!#REF!</definedName>
    <definedName name="_3220__123Graph_BCHART_68" hidden="1">[1]Livestock2005!#REF!</definedName>
    <definedName name="_324__123Graph_BCHART_13" hidden="1">[1]Livestock2005!#REF!</definedName>
    <definedName name="_324__123Graph_BCHART_69" hidden="1">[1]Livestock2005!#REF!</definedName>
    <definedName name="_3240__123Graph_BCHART_69" hidden="1">[1]Livestock2005!#REF!</definedName>
    <definedName name="_326__123Graph_BCHART_73" hidden="1">[1]Livestock2005!#REF!</definedName>
    <definedName name="_3260__123Graph_BCHART_73" hidden="1">[1]Livestock2005!#REF!</definedName>
    <definedName name="_327__123Graph_BCHART_130" hidden="1">[1]Livestock2005!#REF!</definedName>
    <definedName name="_328__123Graph_BCHART_74" hidden="1">[1]Livestock2005!#REF!</definedName>
    <definedName name="_3280__123Graph_BCHART_74" hidden="1">[1]Livestock2005!#REF!</definedName>
    <definedName name="_33__123Graph_ACHART_12" hidden="1">[1]Livestock2005!#REF!</definedName>
    <definedName name="_33__123Graph_ACHART_142" hidden="1">[1]Livestock2005!#REF!</definedName>
    <definedName name="_330__123Graph_BCHART_131" hidden="1">[1]Livestock2005!#REF!</definedName>
    <definedName name="_330__123Graph_BCHART_75" hidden="1">[1]Livestock2005!#REF!</definedName>
    <definedName name="_3300__123Graph_BCHART_75" hidden="1">[1]Livestock2005!#REF!</definedName>
    <definedName name="_332__123Graph_BCHART_76" hidden="1">[1]Livestock2005!#REF!</definedName>
    <definedName name="_3320__123Graph_BCHART_76" hidden="1">[1]Livestock2005!#REF!</definedName>
    <definedName name="_333__123Graph_BCHART_132" hidden="1">[1]Livestock2005!#REF!</definedName>
    <definedName name="_334__123Graph_BCHART_77" hidden="1">[1]Livestock2005!#REF!</definedName>
    <definedName name="_3340__123Graph_BCHART_77" hidden="1">[1]Livestock2005!#REF!</definedName>
    <definedName name="_336__123Graph_BCHART_133" hidden="1">[1]Livestock2005!#REF!</definedName>
    <definedName name="_336__123Graph_BCHART_78" hidden="1">[1]Livestock2005!#REF!</definedName>
    <definedName name="_3360__123Graph_BCHART_78" hidden="1">[1]Livestock2005!#REF!</definedName>
    <definedName name="_338__123Graph_BCHART_80" hidden="1">[1]Livestock2005!#REF!</definedName>
    <definedName name="_3380__123Graph_BCHART_80" hidden="1">[1]Livestock2005!#REF!</definedName>
    <definedName name="_339__123Graph_BCHART_134" hidden="1">[1]Livestock2005!#REF!</definedName>
    <definedName name="_34__123Graph_ACHART_128" hidden="1">[1]Livestock2005!#REF!</definedName>
    <definedName name="_34__123Graph_ACHART_143" hidden="1">[1]Livestock2005!#REF!</definedName>
    <definedName name="_340__123Graph_ACHART_128" hidden="1">[1]Livestock2005!#REF!</definedName>
    <definedName name="_340__123Graph_BCHART_81" hidden="1">[1]Livestock2005!#REF!</definedName>
    <definedName name="_3400__123Graph_BCHART_81" hidden="1">[1]Livestock2005!#REF!</definedName>
    <definedName name="_342__123Graph_BCHART_135" hidden="1">[1]Livestock2005!#REF!</definedName>
    <definedName name="_342__123Graph_BCHART_82" hidden="1">[1]Livestock2005!#REF!</definedName>
    <definedName name="_3420__123Graph_BCHART_82" hidden="1">[1]Livestock2005!#REF!</definedName>
    <definedName name="_344__123Graph_BCHART_91" hidden="1">[1]Livestock2005!#REF!</definedName>
    <definedName name="_3440__123Graph_BCHART_91" hidden="1">[1]Livestock2005!#REF!</definedName>
    <definedName name="_345__123Graph_BCHART_136" hidden="1">[1]Livestock2005!#REF!</definedName>
    <definedName name="_346__123Graph_BCHART_93" hidden="1">[1]Livestock2005!#REF!</definedName>
    <definedName name="_3460__123Graph_BCHART_93" hidden="1">[1]Livestock2005!#REF!</definedName>
    <definedName name="_348__123Graph_BCHART_137" hidden="1">[1]Livestock2005!#REF!</definedName>
    <definedName name="_348__123Graph_BCHART_99" hidden="1">[1]Livestock2005!#REF!</definedName>
    <definedName name="_3480__123Graph_BCHART_99" hidden="1">[1]Livestock2005!#REF!</definedName>
    <definedName name="_35__123Graph_ACHART_144" hidden="1">[1]Livestock2005!#REF!</definedName>
    <definedName name="_350__123Graph_CCHART_18" hidden="1">[1]Livestock2005!#REF!</definedName>
    <definedName name="_3500__123Graph_CCHART_18" hidden="1">[1]Livestock2005!#REF!</definedName>
    <definedName name="_351__123Graph_BCHART_138" hidden="1">[1]Livestock2005!#REF!</definedName>
    <definedName name="_352__123Graph_CCHART_19" hidden="1">[1]Livestock2005!#REF!</definedName>
    <definedName name="_3520__123Graph_CCHART_19" hidden="1">[1]Livestock2005!#REF!</definedName>
    <definedName name="_354__123Graph_BCHART_139" hidden="1">[1]Livestock2005!#REF!</definedName>
    <definedName name="_354__123Graph_CCHART_20" hidden="1">[1]Livestock2005!#REF!</definedName>
    <definedName name="_3540__123Graph_CCHART_20" hidden="1">[1]Livestock2005!#REF!</definedName>
    <definedName name="_356__123Graph_CCHART_21" hidden="1">[1]Livestock2005!#REF!</definedName>
    <definedName name="_3560__123Graph_CCHART_21" hidden="1">[1]Livestock2005!#REF!</definedName>
    <definedName name="_357__123Graph_BCHART_14" hidden="1">[1]Livestock2005!#REF!</definedName>
    <definedName name="_358__123Graph_CCHART_22" hidden="1">[1]Livestock2005!#REF!</definedName>
    <definedName name="_3580__123Graph_CCHART_22" hidden="1">[1]Livestock2005!#REF!</definedName>
    <definedName name="_36__123Graph_ACHART_123" hidden="1">[1]Livestock2005!#REF!</definedName>
    <definedName name="_36__123Graph_ACHART_129" hidden="1">[1]Livestock2005!#REF!</definedName>
    <definedName name="_36__123Graph_ACHART_145" hidden="1">[1]Livestock2005!#REF!</definedName>
    <definedName name="_360__123Graph_ACHART_129" hidden="1">[1]Livestock2005!#REF!</definedName>
    <definedName name="_360__123Graph_BCHART_140" hidden="1">[1]Livestock2005!#REF!</definedName>
    <definedName name="_360__123Graph_CCHART_39" hidden="1">[1]Livestock2005!#REF!</definedName>
    <definedName name="_3600__123Graph_CCHART_39" hidden="1">[1]Livestock2005!#REF!</definedName>
    <definedName name="_362__123Graph_CCHART_45" hidden="1">[1]Livestock2005!#REF!</definedName>
    <definedName name="_3620__123Graph_CCHART_45" hidden="1">[1]Livestock2005!#REF!</definedName>
    <definedName name="_363__123Graph_BCHART_141" hidden="1">[1]Livestock2005!#REF!</definedName>
    <definedName name="_364__123Graph_CCHART_46" hidden="1">[1]Livestock2005!#REF!</definedName>
    <definedName name="_3640__123Graph_CCHART_46" hidden="1">[1]Livestock2005!#REF!</definedName>
    <definedName name="_366__123Graph_BCHART_142" hidden="1">[1]Livestock2005!#REF!</definedName>
    <definedName name="_366__123Graph_CCHART_52" hidden="1">[1]Livestock2005!#REF!</definedName>
    <definedName name="_3660__123Graph_CCHART_52" hidden="1">[1]Livestock2005!#REF!</definedName>
    <definedName name="_368__123Graph_CCHART_53" hidden="1">[1]Livestock2005!#REF!</definedName>
    <definedName name="_3680__123Graph_CCHART_53" hidden="1">[1]Livestock2005!#REF!</definedName>
    <definedName name="_369__123Graph_BCHART_143" hidden="1">[1]Livestock2005!#REF!</definedName>
    <definedName name="_37__123Graph_ACHART_146" hidden="1">[1]Livestock2005!#REF!</definedName>
    <definedName name="_370__123Graph_CCHART_54" hidden="1">[1]Livestock2005!#REF!</definedName>
    <definedName name="_3700__123Graph_CCHART_54" hidden="1">[1]Livestock2005!#REF!</definedName>
    <definedName name="_372__123Graph_BCHART_144" hidden="1">[1]Livestock2005!#REF!</definedName>
    <definedName name="_372__123Graph_CCHART_62" hidden="1">[1]Livestock2005!#REF!</definedName>
    <definedName name="_3720__123Graph_CCHART_62" hidden="1">[1]Livestock2005!#REF!</definedName>
    <definedName name="_374__123Graph_CCHART_68" hidden="1">[1]Livestock2005!#REF!</definedName>
    <definedName name="_3740__123Graph_CCHART_68" hidden="1">[1]Livestock2005!#REF!</definedName>
    <definedName name="_375__123Graph_BCHART_145" hidden="1">[1]Livestock2005!#REF!</definedName>
    <definedName name="_376__123Graph_CCHART_69" hidden="1">[1]Livestock2005!#REF!</definedName>
    <definedName name="_3760__123Graph_CCHART_69" hidden="1">[1]Livestock2005!#REF!</definedName>
    <definedName name="_378__123Graph_BCHART_146" hidden="1">[1]Livestock2005!#REF!</definedName>
    <definedName name="_378__123Graph_CCHART_71" hidden="1">[1]Livestock2005!#REF!</definedName>
    <definedName name="_3780__123Graph_CCHART_71" hidden="1">[1]Livestock2005!#REF!</definedName>
    <definedName name="_38__123Graph_ACHART_13" hidden="1">[1]Livestock2005!#REF!</definedName>
    <definedName name="_38__123Graph_ACHART_147" hidden="1">[1]Livestock2005!#REF!</definedName>
    <definedName name="_380__123Graph_ACHART_13" hidden="1">[1]Livestock2005!#REF!</definedName>
    <definedName name="_380__123Graph_CCHART_73" hidden="1">[1]Livestock2005!#REF!</definedName>
    <definedName name="_3800__123Graph_CCHART_73" hidden="1">[1]Livestock2005!#REF!</definedName>
    <definedName name="_381__123Graph_BCHART_147" hidden="1">[1]Livestock2005!#REF!</definedName>
    <definedName name="_382__123Graph_CCHART_74" hidden="1">[1]Livestock2005!#REF!</definedName>
    <definedName name="_3820__123Graph_CCHART_74" hidden="1">[1]Livestock2005!#REF!</definedName>
    <definedName name="_384__123Graph_BCHART_148" hidden="1">[1]Livestock2005!#REF!</definedName>
    <definedName name="_384__123Graph_CCHART_75" hidden="1">[1]Livestock2005!#REF!</definedName>
    <definedName name="_3840__123Graph_CCHART_75" hidden="1">[1]Livestock2005!#REF!</definedName>
    <definedName name="_386__123Graph_CCHART_76" hidden="1">[1]Livestock2005!#REF!</definedName>
    <definedName name="_3860__123Graph_CCHART_76" hidden="1">[1]Livestock2005!#REF!</definedName>
    <definedName name="_387__123Graph_BCHART_149" hidden="1">[1]Livestock2005!#REF!</definedName>
    <definedName name="_388__123Graph_CCHART_78" hidden="1">[1]Livestock2005!#REF!</definedName>
    <definedName name="_3880__123Graph_CCHART_78" hidden="1">[1]Livestock2005!#REF!</definedName>
    <definedName name="_39__123Graph_ACHART_124" hidden="1">[1]Livestock2005!#REF!</definedName>
    <definedName name="_39__123Graph_ACHART_148" hidden="1">[1]Livestock2005!#REF!</definedName>
    <definedName name="_390__123Graph_BCHART_15" hidden="1">[1]Livestock2005!#REF!</definedName>
    <definedName name="_390__123Graph_CCHART_80" hidden="1">[1]Livestock2005!#REF!</definedName>
    <definedName name="_3900__123Graph_CCHART_80" hidden="1">[1]Livestock2005!#REF!</definedName>
    <definedName name="_392__123Graph_CCHART_81" hidden="1">[1]Livestock2005!#REF!</definedName>
    <definedName name="_3920__123Graph_CCHART_81" hidden="1">[1]Livestock2005!#REF!</definedName>
    <definedName name="_393__123Graph_BCHART_150" hidden="1">[1]Livestock2005!#REF!</definedName>
    <definedName name="_394__123Graph_CCHART_82" hidden="1">[1]Livestock2005!#REF!</definedName>
    <definedName name="_3940__123Graph_CCHART_82" hidden="1">[1]Livestock2005!#REF!</definedName>
    <definedName name="_396__123Graph_BCHART_151" hidden="1">[1]Livestock2005!#REF!</definedName>
    <definedName name="_396__123Graph_DCHART_34" hidden="1">[1]Livestock2005!#REF!</definedName>
    <definedName name="_3960__123Graph_DCHART_34" hidden="1">[1]Livestock2005!#REF!</definedName>
    <definedName name="_398__123Graph_DCHART_39" hidden="1">[1]Livestock2005!#REF!</definedName>
    <definedName name="_3980__123Graph_DCHART_39" hidden="1">[1]Livestock2005!#REF!</definedName>
    <definedName name="_399__123Graph_BCHART_152" hidden="1">[1]Livestock2005!#REF!</definedName>
    <definedName name="_4__123Graph_ACHART_10" hidden="1">[1]Livestock2005!#REF!</definedName>
    <definedName name="_4__123Graph_ACHART_101" hidden="1">[1]Livestock2005!#REF!</definedName>
    <definedName name="_40__123Graph_ACHART_10" hidden="1">[1]Livestock2005!#REF!</definedName>
    <definedName name="_40__123Graph_ACHART_130" hidden="1">[1]Livestock2005!#REF!</definedName>
    <definedName name="_40__123Graph_ACHART_149" hidden="1">[1]Livestock2005!#REF!</definedName>
    <definedName name="_400__123Graph_ACHART_130" hidden="1">[1]Livestock2005!#REF!</definedName>
    <definedName name="_400__123Graph_DCHART_45" hidden="1">[1]Livestock2005!#REF!</definedName>
    <definedName name="_4000__123Graph_DCHART_45" hidden="1">[1]Livestock2005!#REF!</definedName>
    <definedName name="_402__123Graph_BCHART_153" hidden="1">[1]Livestock2005!#REF!</definedName>
    <definedName name="_402__123Graph_DCHART_47" hidden="1">[1]Livestock2005!#REF!</definedName>
    <definedName name="_4020__123Graph_DCHART_47" hidden="1">[1]Livestock2005!#REF!</definedName>
    <definedName name="_404__123Graph_DCHART_52" hidden="1">[1]Livestock2005!#REF!</definedName>
    <definedName name="_4040__123Graph_DCHART_52" hidden="1">[1]Livestock2005!#REF!</definedName>
    <definedName name="_405__123Graph_BCHART_154" hidden="1">[1]Livestock2005!#REF!</definedName>
    <definedName name="_406__123Graph_DCHART_53" hidden="1">[1]Livestock2005!#REF!</definedName>
    <definedName name="_4060__123Graph_DCHART_53" hidden="1">[1]Livestock2005!#REF!</definedName>
    <definedName name="_408__123Graph_BCHART_155" hidden="1">[1]Livestock2005!#REF!</definedName>
    <definedName name="_408__123Graph_DCHART_54" hidden="1">[1]Livestock2005!#REF!</definedName>
    <definedName name="_4080__123Graph_DCHART_54" hidden="1">[1]Livestock2005!#REF!</definedName>
    <definedName name="_41__123Graph_ACHART_15" hidden="1">[1]Livestock2005!#REF!</definedName>
    <definedName name="_410__123Graph_DCHART_55" hidden="1">[1]Livestock2005!#REF!</definedName>
    <definedName name="_4100__123Graph_DCHART_55" hidden="1">[1]Livestock2005!#REF!</definedName>
    <definedName name="_411__123Graph_BCHART_156" hidden="1">[1]Livestock2005!#REF!</definedName>
    <definedName name="_412__123Graph_DCHART_57" hidden="1">[1]Livestock2005!#REF!</definedName>
    <definedName name="_4120__123Graph_DCHART_57" hidden="1">[1]Livestock2005!#REF!</definedName>
    <definedName name="_414__123Graph_BCHART_16" hidden="1">[1]Livestock2005!#REF!</definedName>
    <definedName name="_414__123Graph_DCHART_58" hidden="1">[1]Livestock2005!#REF!</definedName>
    <definedName name="_4140__123Graph_DCHART_58" hidden="1">[1]Livestock2005!#REF!</definedName>
    <definedName name="_416__123Graph_DCHART_59" hidden="1">[1]Livestock2005!#REF!</definedName>
    <definedName name="_4160__123Graph_DCHART_59" hidden="1">[1]Livestock2005!#REF!</definedName>
    <definedName name="_417__123Graph_BCHART_18" hidden="1">[1]Livestock2005!#REF!</definedName>
    <definedName name="_418__123Graph_DCHART_68" hidden="1">[1]Livestock2005!#REF!</definedName>
    <definedName name="_4180__123Graph_DCHART_68" hidden="1">[1]Livestock2005!#REF!</definedName>
    <definedName name="_42__123Graph_ACHART_125" hidden="1">[1]Livestock2005!#REF!</definedName>
    <definedName name="_42__123Graph_ACHART_131" hidden="1">[1]Livestock2005!#REF!</definedName>
    <definedName name="_42__123Graph_ACHART_150" hidden="1">[1]Livestock2005!#REF!</definedName>
    <definedName name="_420__123Graph_ACHART_131" hidden="1">[1]Livestock2005!#REF!</definedName>
    <definedName name="_420__123Graph_BCHART_19" hidden="1">[1]Livestock2005!#REF!</definedName>
    <definedName name="_420__123Graph_DCHART_70" hidden="1">[1]Livestock2005!#REF!</definedName>
    <definedName name="_4200__123Graph_DCHART_70" hidden="1">[1]Livestock2005!#REF!</definedName>
    <definedName name="_422__123Graph_DCHART_72" hidden="1">[1]Livestock2005!#REF!</definedName>
    <definedName name="_4220__123Graph_DCHART_72" hidden="1">[1]Livestock2005!#REF!</definedName>
    <definedName name="_423__123Graph_BCHART_20" hidden="1">[1]Livestock2005!#REF!</definedName>
    <definedName name="_424__123Graph_DCHART_73" hidden="1">[1]Livestock2005!#REF!</definedName>
    <definedName name="_4240__123Graph_DCHART_73" hidden="1">[1]Livestock2005!#REF!</definedName>
    <definedName name="_426__123Graph_BCHART_21" hidden="1">[1]Livestock2005!#REF!</definedName>
    <definedName name="_426__123Graph_ECHART_45" hidden="1">[1]Livestock2005!#REF!</definedName>
    <definedName name="_4260__123Graph_ECHART_45" hidden="1">[1]Livestock2005!#REF!</definedName>
    <definedName name="_428__123Graph_ECHART_46" hidden="1">[1]Livestock2005!#REF!</definedName>
    <definedName name="_4280__123Graph_ECHART_46" hidden="1">[1]Livestock2005!#REF!</definedName>
    <definedName name="_429__123Graph_BCHART_22" hidden="1">[1]Livestock2005!#REF!</definedName>
    <definedName name="_43__123Graph_ACHART_151" hidden="1">[1]Livestock2005!#REF!</definedName>
    <definedName name="_430__123Graph_ECHART_52" hidden="1">[1]Livestock2005!#REF!</definedName>
    <definedName name="_4300__123Graph_ECHART_52" hidden="1">[1]Livestock2005!#REF!</definedName>
    <definedName name="_432__123Graph_BCHART_28" hidden="1">[1]Livestock2005!#REF!</definedName>
    <definedName name="_432__123Graph_ECHART_53" hidden="1">[1]Livestock2005!#REF!</definedName>
    <definedName name="_4320__123Graph_ECHART_53" hidden="1">[1]Livestock2005!#REF!</definedName>
    <definedName name="_434__123Graph_ECHART_54" hidden="1">[1]Livestock2005!#REF!</definedName>
    <definedName name="_4340__123Graph_ECHART_54" hidden="1">[1]Livestock2005!#REF!</definedName>
    <definedName name="_435__123Graph_BCHART_36" hidden="1">[1]Livestock2005!#REF!</definedName>
    <definedName name="_436__123Graph_ECHART_55" hidden="1">[1]Livestock2005!#REF!</definedName>
    <definedName name="_4360__123Graph_ECHART_55" hidden="1">[1]Livestock2005!#REF!</definedName>
    <definedName name="_438__123Graph_BCHART_37" hidden="1">[1]Livestock2005!#REF!</definedName>
    <definedName name="_438__123Graph_ECHART_57" hidden="1">[1]Livestock2005!#REF!</definedName>
    <definedName name="_4380__123Graph_ECHART_57" hidden="1">[1]Livestock2005!#REF!</definedName>
    <definedName name="_44__123Graph_ACHART_132" hidden="1">[1]Livestock2005!#REF!</definedName>
    <definedName name="_44__123Graph_ACHART_152" hidden="1">[1]Livestock2005!#REF!</definedName>
    <definedName name="_440__123Graph_ACHART_132" hidden="1">[1]Livestock2005!#REF!</definedName>
    <definedName name="_440__123Graph_ECHART_58" hidden="1">[1]Livestock2005!#REF!</definedName>
    <definedName name="_4400__123Graph_ECHART_58" hidden="1">[1]Livestock2005!#REF!</definedName>
    <definedName name="_441__123Graph_BCHART_38" hidden="1">[1]Livestock2005!#REF!</definedName>
    <definedName name="_442__123Graph_ECHART_60" hidden="1">[1]Livestock2005!#REF!</definedName>
    <definedName name="_4420__123Graph_ECHART_60" hidden="1">[1]Livestock2005!#REF!</definedName>
    <definedName name="_444__123Graph_BCHART_39" hidden="1">[1]Livestock2005!#REF!</definedName>
    <definedName name="_444__123Graph_ECHART_70" hidden="1">[1]Livestock2005!#REF!</definedName>
    <definedName name="_4440__123Graph_ECHART_70" hidden="1">[1]Livestock2005!#REF!</definedName>
    <definedName name="_446__123Graph_ECHART_71" hidden="1">[1]Livestock2005!#REF!</definedName>
    <definedName name="_4460__123Graph_ECHART_71" hidden="1">[1]Livestock2005!#REF!</definedName>
    <definedName name="_447__123Graph_BCHART_42" hidden="1">[1]Livestock2005!#REF!</definedName>
    <definedName name="_448__123Graph_ECHART_72" hidden="1">[1]Livestock2005!#REF!</definedName>
    <definedName name="_4480__123Graph_ECHART_72" hidden="1">[1]Livestock2005!#REF!</definedName>
    <definedName name="_45__123Graph_ACHART_126" hidden="1">[1]Livestock2005!#REF!</definedName>
    <definedName name="_45__123Graph_ACHART_153" hidden="1">[1]Livestock2005!#REF!</definedName>
    <definedName name="_450__123Graph_BCHART_43" hidden="1">[1]Livestock2005!#REF!</definedName>
    <definedName name="_450__123Graph_FCHART_53" hidden="1">[1]Livestock2005!#REF!</definedName>
    <definedName name="_4500__123Graph_FCHART_53" hidden="1">[1]Livestock2005!#REF!</definedName>
    <definedName name="_452__123Graph_FCHART_54" hidden="1">[1]Livestock2005!#REF!</definedName>
    <definedName name="_4520__123Graph_FCHART_54" hidden="1">[1]Livestock2005!#REF!</definedName>
    <definedName name="_453__123Graph_BCHART_44" hidden="1">[1]Livestock2005!#REF!</definedName>
    <definedName name="_454__123Graph_FCHART_55" hidden="1">[1]Livestock2005!#REF!</definedName>
    <definedName name="_4540__123Graph_FCHART_55" hidden="1">[1]Livestock2005!#REF!</definedName>
    <definedName name="_456__123Graph_BCHART_46" hidden="1">[1]Livestock2005!#REF!</definedName>
    <definedName name="_456__123Graph_FCHART_61" hidden="1">[1]Livestock2005!#REF!</definedName>
    <definedName name="_4560__123Graph_FCHART_61" hidden="1">[1]Livestock2005!#REF!</definedName>
    <definedName name="_458__123Graph_FCHART_63" hidden="1">[1]Livestock2005!#REF!</definedName>
    <definedName name="_4580__123Graph_FCHART_63" hidden="1">[1]Livestock2005!#REF!</definedName>
    <definedName name="_459__123Graph_BCHART_48" hidden="1">[1]Livestock2005!#REF!</definedName>
    <definedName name="_46__123Graph_ACHART_133" hidden="1">[1]Livestock2005!#REF!</definedName>
    <definedName name="_46__123Graph_ACHART_154" hidden="1">[1]Livestock2005!#REF!</definedName>
    <definedName name="_460__123Graph_ACHART_133" hidden="1">[1]Livestock2005!#REF!</definedName>
    <definedName name="_460__123Graph_XCHART_1" hidden="1">[1]Livestock2005!#REF!</definedName>
    <definedName name="_4600__123Graph_XCHART_1" hidden="1">[1]Livestock2005!#REF!</definedName>
    <definedName name="_462__123Graph_BCHART_52" hidden="1">[1]Livestock2005!#REF!</definedName>
    <definedName name="_462__123Graph_XCHART_10" hidden="1">[1]Livestock2005!#REF!</definedName>
    <definedName name="_4620__123Graph_XCHART_10" hidden="1">[1]Livestock2005!#REF!</definedName>
    <definedName name="_464__123Graph_XCHART_11" hidden="1">[1]Livestock2005!#REF!</definedName>
    <definedName name="_4640__123Graph_XCHART_11" hidden="1">[1]Livestock2005!#REF!</definedName>
    <definedName name="_465__123Graph_BCHART_54" hidden="1">[1]Livestock2005!#REF!</definedName>
    <definedName name="_466__123Graph_XCHART_12" hidden="1">[1]Livestock2005!#REF!</definedName>
    <definedName name="_4660__123Graph_XCHART_12" hidden="1">[1]Livestock2005!#REF!</definedName>
    <definedName name="_468__123Graph_BCHART_56" hidden="1">[1]Livestock2005!#REF!</definedName>
    <definedName name="_468__123Graph_XCHART_123" hidden="1">[1]Livestock2005!#REF!</definedName>
    <definedName name="_4680__123Graph_XCHART_123" hidden="1">[1]Livestock2005!#REF!</definedName>
    <definedName name="_47__123Graph_ACHART_155" hidden="1">[1]Livestock2005!#REF!</definedName>
    <definedName name="_470__123Graph_XCHART_124" hidden="1">[1]Livestock2005!#REF!</definedName>
    <definedName name="_4700__123Graph_XCHART_124" hidden="1">[1]Livestock2005!#REF!</definedName>
    <definedName name="_471__123Graph_BCHART_61" hidden="1">[1]Livestock2005!#REF!</definedName>
    <definedName name="_472__123Graph_XCHART_125" hidden="1">[1]Livestock2005!#REF!</definedName>
    <definedName name="_4720__123Graph_XCHART_125" hidden="1">[1]Livestock2005!#REF!</definedName>
    <definedName name="_474__123Graph_BCHART_62" hidden="1">[1]Livestock2005!#REF!</definedName>
    <definedName name="_474__123Graph_XCHART_126" hidden="1">[1]Livestock2005!#REF!</definedName>
    <definedName name="_4740__123Graph_XCHART_126" hidden="1">[1]Livestock2005!#REF!</definedName>
    <definedName name="_476__123Graph_XCHART_127" hidden="1">[1]Livestock2005!#REF!</definedName>
    <definedName name="_4760__123Graph_XCHART_127" hidden="1">[1]Livestock2005!#REF!</definedName>
    <definedName name="_477__123Graph_BCHART_65" hidden="1">[1]Livestock2005!#REF!</definedName>
    <definedName name="_478__123Graph_XCHART_128" hidden="1">[1]Livestock2005!#REF!</definedName>
    <definedName name="_4780__123Graph_XCHART_128" hidden="1">[1]Livestock2005!#REF!</definedName>
    <definedName name="_48__123Graph_ACHART_127" hidden="1">[1]Livestock2005!#REF!</definedName>
    <definedName name="_48__123Graph_ACHART_134" hidden="1">[1]Livestock2005!#REF!</definedName>
    <definedName name="_48__123Graph_ACHART_156" hidden="1">[1]Livestock2005!#REF!</definedName>
    <definedName name="_480__123Graph_ACHART_134" hidden="1">[1]Livestock2005!#REF!</definedName>
    <definedName name="_480__123Graph_BCHART_66" hidden="1">[1]Livestock2005!#REF!</definedName>
    <definedName name="_480__123Graph_XCHART_129" hidden="1">[1]Livestock2005!#REF!</definedName>
    <definedName name="_4800__123Graph_XCHART_129" hidden="1">[1]Livestock2005!#REF!</definedName>
    <definedName name="_482__123Graph_XCHART_13" hidden="1">[1]Livestock2005!#REF!</definedName>
    <definedName name="_4820__123Graph_XCHART_13" hidden="1">[1]Livestock2005!#REF!</definedName>
    <definedName name="_483__123Graph_BCHART_68" hidden="1">[1]Livestock2005!#REF!</definedName>
    <definedName name="_484__123Graph_XCHART_130" hidden="1">[1]Livestock2005!#REF!</definedName>
    <definedName name="_4840__123Graph_XCHART_130" hidden="1">[1]Livestock2005!#REF!</definedName>
    <definedName name="_486__123Graph_BCHART_69" hidden="1">[1]Livestock2005!#REF!</definedName>
    <definedName name="_486__123Graph_XCHART_131" hidden="1">[1]Livestock2005!#REF!</definedName>
    <definedName name="_4860__123Graph_XCHART_131" hidden="1">[1]Livestock2005!#REF!</definedName>
    <definedName name="_488__123Graph_XCHART_132" hidden="1">[1]Livestock2005!#REF!</definedName>
    <definedName name="_4880__123Graph_XCHART_132" hidden="1">[1]Livestock2005!#REF!</definedName>
    <definedName name="_489__123Graph_BCHART_73" hidden="1">[1]Livestock2005!#REF!</definedName>
    <definedName name="_49__123Graph_ACHART_16" hidden="1">[1]Livestock2005!#REF!</definedName>
    <definedName name="_490__123Graph_XCHART_133" hidden="1">[1]Livestock2005!#REF!</definedName>
    <definedName name="_4900__123Graph_XCHART_133" hidden="1">[1]Livestock2005!#REF!</definedName>
    <definedName name="_492__123Graph_BCHART_74" hidden="1">[1]Livestock2005!#REF!</definedName>
    <definedName name="_492__123Graph_XCHART_134" hidden="1">[1]Livestock2005!#REF!</definedName>
    <definedName name="_4920__123Graph_XCHART_134" hidden="1">[1]Livestock2005!#REF!</definedName>
    <definedName name="_494__123Graph_XCHART_135" hidden="1">[1]Livestock2005!#REF!</definedName>
    <definedName name="_4940__123Graph_XCHART_135" hidden="1">[1]Livestock2005!#REF!</definedName>
    <definedName name="_495__123Graph_BCHART_75" hidden="1">[1]Livestock2005!#REF!</definedName>
    <definedName name="_496__123Graph_XCHART_136" hidden="1">[1]Livestock2005!#REF!</definedName>
    <definedName name="_4960__123Graph_XCHART_136" hidden="1">[1]Livestock2005!#REF!</definedName>
    <definedName name="_498__123Graph_BCHART_76" hidden="1">[1]Livestock2005!#REF!</definedName>
    <definedName name="_498__123Graph_XCHART_137" hidden="1">[1]Livestock2005!#REF!</definedName>
    <definedName name="_4980__123Graph_XCHART_137" hidden="1">[1]Livestock2005!#REF!</definedName>
    <definedName name="_5__123Graph_ACHART_105" hidden="1">[1]Livestock2005!#REF!</definedName>
    <definedName name="_50__123Graph_ACHART_135" hidden="1">[1]Livestock2005!#REF!</definedName>
    <definedName name="_50__123Graph_ACHART_17" hidden="1">[1]Livestock2005!#REF!</definedName>
    <definedName name="_500__123Graph_ACHART_135" hidden="1">[1]Livestock2005!#REF!</definedName>
    <definedName name="_500__123Graph_XCHART_138" hidden="1">[1]Livestock2005!#REF!</definedName>
    <definedName name="_5000__123Graph_XCHART_138" hidden="1">[1]Livestock2005!#REF!</definedName>
    <definedName name="_501__123Graph_BCHART_77" hidden="1">[1]Livestock2005!#REF!</definedName>
    <definedName name="_502__123Graph_XCHART_139" hidden="1">[1]Livestock2005!#REF!</definedName>
    <definedName name="_5020__123Graph_XCHART_139" hidden="1">[1]Livestock2005!#REF!</definedName>
    <definedName name="_504__123Graph_BCHART_78" hidden="1">[1]Livestock2005!#REF!</definedName>
    <definedName name="_504__123Graph_XCHART_14" hidden="1">[1]Livestock2005!#REF!</definedName>
    <definedName name="_5040__123Graph_XCHART_14" hidden="1">[1]Livestock2005!#REF!</definedName>
    <definedName name="_506__123Graph_XCHART_140" hidden="1">[1]Livestock2005!#REF!</definedName>
    <definedName name="_5060__123Graph_XCHART_140" hidden="1">[1]Livestock2005!#REF!</definedName>
    <definedName name="_507__123Graph_BCHART_80" hidden="1">[1]Livestock2005!#REF!</definedName>
    <definedName name="_508__123Graph_XCHART_141" hidden="1">[1]Livestock2005!#REF!</definedName>
    <definedName name="_5080__123Graph_XCHART_141" hidden="1">[1]Livestock2005!#REF!</definedName>
    <definedName name="_51__123Graph_ACHART_128" hidden="1">[1]Livestock2005!#REF!</definedName>
    <definedName name="_51__123Graph_ACHART_18" hidden="1">[1]Livestock2005!#REF!</definedName>
    <definedName name="_510__123Graph_BCHART_81" hidden="1">[1]Livestock2005!#REF!</definedName>
    <definedName name="_510__123Graph_XCHART_142" hidden="1">[1]Livestock2005!#REF!</definedName>
    <definedName name="_5100__123Graph_XCHART_142" hidden="1">[1]Livestock2005!#REF!</definedName>
    <definedName name="_512__123Graph_XCHART_143" hidden="1">[1]Livestock2005!#REF!</definedName>
    <definedName name="_5120__123Graph_XCHART_143" hidden="1">[1]Livestock2005!#REF!</definedName>
    <definedName name="_513__123Graph_BCHART_82" hidden="1">[1]Livestock2005!#REF!</definedName>
    <definedName name="_514__123Graph_XCHART_144" hidden="1">[1]Livestock2005!#REF!</definedName>
    <definedName name="_5140__123Graph_XCHART_144" hidden="1">[1]Livestock2005!#REF!</definedName>
    <definedName name="_516__123Graph_BCHART_91" hidden="1">[1]Livestock2005!#REF!</definedName>
    <definedName name="_516__123Graph_XCHART_145" hidden="1">[1]Livestock2005!#REF!</definedName>
    <definedName name="_5160__123Graph_XCHART_145" hidden="1">[1]Livestock2005!#REF!</definedName>
    <definedName name="_518__123Graph_XCHART_146" hidden="1">[1]Livestock2005!#REF!</definedName>
    <definedName name="_5180__123Graph_XCHART_146" hidden="1">[1]Livestock2005!#REF!</definedName>
    <definedName name="_519__123Graph_BCHART_93" hidden="1">[1]Livestock2005!#REF!</definedName>
    <definedName name="_52__123Graph_ACHART_136" hidden="1">[1]Livestock2005!#REF!</definedName>
    <definedName name="_52__123Graph_ACHART_19" hidden="1">[1]Livestock2005!#REF!</definedName>
    <definedName name="_520__123Graph_ACHART_136" hidden="1">[1]Livestock2005!#REF!</definedName>
    <definedName name="_520__123Graph_XCHART_147" hidden="1">[1]Livestock2005!#REF!</definedName>
    <definedName name="_5200__123Graph_XCHART_147" hidden="1">[1]Livestock2005!#REF!</definedName>
    <definedName name="_522__123Graph_BCHART_99" hidden="1">[1]Livestock2005!#REF!</definedName>
    <definedName name="_522__123Graph_XCHART_148" hidden="1">[1]Livestock2005!#REF!</definedName>
    <definedName name="_5220__123Graph_XCHART_148" hidden="1">[1]Livestock2005!#REF!</definedName>
    <definedName name="_524__123Graph_XCHART_149" hidden="1">[1]Livestock2005!#REF!</definedName>
    <definedName name="_5240__123Graph_XCHART_149" hidden="1">[1]Livestock2005!#REF!</definedName>
    <definedName name="_525__123Graph_CCHART_18" hidden="1">[1]Livestock2005!#REF!</definedName>
    <definedName name="_526__123Graph_XCHART_15" hidden="1">[1]Livestock2005!#REF!</definedName>
    <definedName name="_5260__123Graph_XCHART_15" hidden="1">[1]Livestock2005!#REF!</definedName>
    <definedName name="_528__123Graph_CCHART_19" hidden="1">[1]Livestock2005!#REF!</definedName>
    <definedName name="_528__123Graph_XCHART_150" hidden="1">[1]Livestock2005!#REF!</definedName>
    <definedName name="_5280__123Graph_XCHART_150" hidden="1">[1]Livestock2005!#REF!</definedName>
    <definedName name="_53__123Graph_ACHART_2" hidden="1">[1]Livestock2005!#REF!</definedName>
    <definedName name="_530__123Graph_XCHART_151" hidden="1">[1]Livestock2005!#REF!</definedName>
    <definedName name="_5300__123Graph_XCHART_151" hidden="1">[1]Livestock2005!#REF!</definedName>
    <definedName name="_531__123Graph_CCHART_20" hidden="1">[1]Livestock2005!#REF!</definedName>
    <definedName name="_532__123Graph_XCHART_152" hidden="1">[1]Livestock2005!#REF!</definedName>
    <definedName name="_5320__123Graph_XCHART_152" hidden="1">[1]Livestock2005!#REF!</definedName>
    <definedName name="_534__123Graph_CCHART_21" hidden="1">[1]Livestock2005!#REF!</definedName>
    <definedName name="_534__123Graph_XCHART_153" hidden="1">[1]Livestock2005!#REF!</definedName>
    <definedName name="_5340__123Graph_XCHART_153" hidden="1">[1]Livestock2005!#REF!</definedName>
    <definedName name="_536__123Graph_XCHART_154" hidden="1">[1]Livestock2005!#REF!</definedName>
    <definedName name="_5360__123Graph_XCHART_154" hidden="1">[1]Livestock2005!#REF!</definedName>
    <definedName name="_537__123Graph_CCHART_22" hidden="1">[1]Livestock2005!#REF!</definedName>
    <definedName name="_538__123Graph_XCHART_155" hidden="1">[1]Livestock2005!#REF!</definedName>
    <definedName name="_5380__123Graph_XCHART_155" hidden="1">[1]Livestock2005!#REF!</definedName>
    <definedName name="_54__123Graph_ACHART_129" hidden="1">[1]Livestock2005!#REF!</definedName>
    <definedName name="_54__123Graph_ACHART_137" hidden="1">[1]Livestock2005!#REF!</definedName>
    <definedName name="_54__123Graph_ACHART_20" hidden="1">[1]Livestock2005!#REF!</definedName>
    <definedName name="_540__123Graph_ACHART_137" hidden="1">[1]Livestock2005!#REF!</definedName>
    <definedName name="_540__123Graph_CCHART_39" hidden="1">[1]Livestock2005!#REF!</definedName>
    <definedName name="_540__123Graph_XCHART_156" hidden="1">[1]Livestock2005!#REF!</definedName>
    <definedName name="_5400__123Graph_XCHART_156" hidden="1">[1]Livestock2005!#REF!</definedName>
    <definedName name="_542__123Graph_XCHART_16" hidden="1">[1]Livestock2005!#REF!</definedName>
    <definedName name="_5420__123Graph_XCHART_16" hidden="1">[1]Livestock2005!#REF!</definedName>
    <definedName name="_543__123Graph_CCHART_45" hidden="1">[1]Livestock2005!#REF!</definedName>
    <definedName name="_544__123Graph_XCHART_17" hidden="1">[1]Livestock2005!#REF!</definedName>
    <definedName name="_5440__123Graph_XCHART_17" hidden="1">[1]Livestock2005!#REF!</definedName>
    <definedName name="_546__123Graph_CCHART_46" hidden="1">[1]Livestock2005!#REF!</definedName>
    <definedName name="_546__123Graph_XCHART_18" hidden="1">[1]Livestock2005!#REF!</definedName>
    <definedName name="_5460__123Graph_XCHART_18" hidden="1">[1]Livestock2005!#REF!</definedName>
    <definedName name="_548__123Graph_XCHART_19" hidden="1">[1]Livestock2005!#REF!</definedName>
    <definedName name="_5480__123Graph_XCHART_19" hidden="1">[1]Livestock2005!#REF!</definedName>
    <definedName name="_549__123Graph_CCHART_52" hidden="1">[1]Livestock2005!#REF!</definedName>
    <definedName name="_55__123Graph_ACHART_21" hidden="1">[1]Livestock2005!#REF!</definedName>
    <definedName name="_550__123Graph_XCHART_2" hidden="1">[1]Livestock2005!#REF!</definedName>
    <definedName name="_5500__123Graph_XCHART_2" hidden="1">[1]Livestock2005!#REF!</definedName>
    <definedName name="_552__123Graph_CCHART_53" hidden="1">[1]Livestock2005!#REF!</definedName>
    <definedName name="_552__123Graph_XCHART_20" hidden="1">[1]Livestock2005!#REF!</definedName>
    <definedName name="_5520__123Graph_XCHART_20" hidden="1">[1]Livestock2005!#REF!</definedName>
    <definedName name="_554__123Graph_XCHART_21" hidden="1">[1]Livestock2005!#REF!</definedName>
    <definedName name="_5540__123Graph_XCHART_21" hidden="1">[1]Livestock2005!#REF!</definedName>
    <definedName name="_555__123Graph_CCHART_54" hidden="1">[1]Livestock2005!#REF!</definedName>
    <definedName name="_556__123Graph_XCHART_22" hidden="1">[1]Livestock2005!#REF!</definedName>
    <definedName name="_5560__123Graph_XCHART_22" hidden="1">[1]Livestock2005!#REF!</definedName>
    <definedName name="_558__123Graph_CCHART_62" hidden="1">[1]Livestock2005!#REF!</definedName>
    <definedName name="_558__123Graph_XCHART_23" hidden="1">[1]Livestock2005!#REF!</definedName>
    <definedName name="_5580__123Graph_XCHART_23" hidden="1">[1]Livestock2005!#REF!</definedName>
    <definedName name="_56__123Graph_ACHART_138" hidden="1">[1]Livestock2005!#REF!</definedName>
    <definedName name="_56__123Graph_ACHART_22" hidden="1">[1]Livestock2005!#REF!</definedName>
    <definedName name="_560__123Graph_ACHART_138" hidden="1">[1]Livestock2005!#REF!</definedName>
    <definedName name="_560__123Graph_XCHART_24" hidden="1">[1]Livestock2005!#REF!</definedName>
    <definedName name="_5600__123Graph_XCHART_24" hidden="1">[1]Livestock2005!#REF!</definedName>
    <definedName name="_561__123Graph_CCHART_68" hidden="1">[1]Livestock2005!#REF!</definedName>
    <definedName name="_562__123Graph_XCHART_3" hidden="1">[1]Livestock2005!#REF!</definedName>
    <definedName name="_5620__123Graph_XCHART_3" hidden="1">[1]Livestock2005!#REF!</definedName>
    <definedName name="_564__123Graph_CCHART_69" hidden="1">[1]Livestock2005!#REF!</definedName>
    <definedName name="_564__123Graph_XCHART_4" hidden="1">[1]Livestock2005!#REF!</definedName>
    <definedName name="_5640__123Graph_XCHART_4" hidden="1">[1]Livestock2005!#REF!</definedName>
    <definedName name="_566__123Graph_XCHART_45" hidden="1">[1]Livestock2005!#REF!</definedName>
    <definedName name="_5660__123Graph_XCHART_45" hidden="1">[1]Livestock2005!#REF!</definedName>
    <definedName name="_567__123Graph_CCHART_71" hidden="1">[1]Livestock2005!#REF!</definedName>
    <definedName name="_568__123Graph_XCHART_46" hidden="1">[1]Livestock2005!#REF!</definedName>
    <definedName name="_5680__123Graph_XCHART_46" hidden="1">[1]Livestock2005!#REF!</definedName>
    <definedName name="_57__123Graph_ACHART_13" hidden="1">[1]Livestock2005!#REF!</definedName>
    <definedName name="_57__123Graph_ACHART_23" hidden="1">[1]Livestock2005!#REF!</definedName>
    <definedName name="_570__123Graph_CCHART_73" hidden="1">[1]Livestock2005!#REF!</definedName>
    <definedName name="_570__123Graph_XCHART_47" hidden="1">[1]Livestock2005!#REF!</definedName>
    <definedName name="_5700__123Graph_XCHART_47" hidden="1">[1]Livestock2005!#REF!</definedName>
    <definedName name="_572__123Graph_XCHART_48" hidden="1">[1]Livestock2005!#REF!</definedName>
    <definedName name="_5720__123Graph_XCHART_48" hidden="1">[1]Livestock2005!#REF!</definedName>
    <definedName name="_573__123Graph_CCHART_74" hidden="1">[1]Livestock2005!#REF!</definedName>
    <definedName name="_574__123Graph_XCHART_49" hidden="1">[1]Livestock2005!#REF!</definedName>
    <definedName name="_5740__123Graph_XCHART_49" hidden="1">[1]Livestock2005!#REF!</definedName>
    <definedName name="_576__123Graph_CCHART_75" hidden="1">[1]Livestock2005!#REF!</definedName>
    <definedName name="_576__123Graph_XCHART_5" hidden="1">[1]Livestock2005!#REF!</definedName>
    <definedName name="_5760__123Graph_XCHART_5" hidden="1">[1]Livestock2005!#REF!</definedName>
    <definedName name="_578__123Graph_XCHART_50" hidden="1">[1]Livestock2005!#REF!</definedName>
    <definedName name="_5780__123Graph_XCHART_50" hidden="1">[1]Livestock2005!#REF!</definedName>
    <definedName name="_579__123Graph_CCHART_76" hidden="1">[1]Livestock2005!#REF!</definedName>
    <definedName name="_58__123Graph_ACHART_139" hidden="1">[1]Livestock2005!#REF!</definedName>
    <definedName name="_58__123Graph_ACHART_3" hidden="1">[1]Livestock2005!#REF!</definedName>
    <definedName name="_580__123Graph_ACHART_139" hidden="1">[1]Livestock2005!#REF!</definedName>
    <definedName name="_580__123Graph_XCHART_51" hidden="1">[1]Livestock2005!#REF!</definedName>
    <definedName name="_5800__123Graph_XCHART_51" hidden="1">[1]Livestock2005!#REF!</definedName>
    <definedName name="_582__123Graph_CCHART_78" hidden="1">[1]Livestock2005!#REF!</definedName>
    <definedName name="_582__123Graph_XCHART_52" hidden="1">[1]Livestock2005!#REF!</definedName>
    <definedName name="_5820__123Graph_XCHART_52" hidden="1">[1]Livestock2005!#REF!</definedName>
    <definedName name="_584__123Graph_XCHART_53" hidden="1">[1]Livestock2005!#REF!</definedName>
    <definedName name="_5840__123Graph_XCHART_53" hidden="1">[1]Livestock2005!#REF!</definedName>
    <definedName name="_585__123Graph_CCHART_80" hidden="1">[1]Livestock2005!#REF!</definedName>
    <definedName name="_586__123Graph_XCHART_54" hidden="1">[1]Livestock2005!#REF!</definedName>
    <definedName name="_5860__123Graph_XCHART_54" hidden="1">[1]Livestock2005!#REF!</definedName>
    <definedName name="_588__123Graph_CCHART_81" hidden="1">[1]Livestock2005!#REF!</definedName>
    <definedName name="_588__123Graph_XCHART_55" hidden="1">[1]Livestock2005!#REF!</definedName>
    <definedName name="_5880__123Graph_XCHART_55" hidden="1">[1]Livestock2005!#REF!</definedName>
    <definedName name="_59__123Graph_ACHART_39" hidden="1">[1]Livestock2005!#REF!</definedName>
    <definedName name="_590__123Graph_XCHART_56" hidden="1">[1]Livestock2005!#REF!</definedName>
    <definedName name="_5900__123Graph_XCHART_56" hidden="1">[1]Livestock2005!#REF!</definedName>
    <definedName name="_591__123Graph_CCHART_82" hidden="1">[1]Livestock2005!#REF!</definedName>
    <definedName name="_592__123Graph_XCHART_57" hidden="1">[1]Livestock2005!#REF!</definedName>
    <definedName name="_5920__123Graph_XCHART_57" hidden="1">[1]Livestock2005!#REF!</definedName>
    <definedName name="_594__123Graph_DCHART_34" hidden="1">[1]Livestock2005!#REF!</definedName>
    <definedName name="_594__123Graph_XCHART_58" hidden="1">[1]Livestock2005!#REF!</definedName>
    <definedName name="_5940__123Graph_XCHART_58" hidden="1">[1]Livestock2005!#REF!</definedName>
    <definedName name="_596__123Graph_XCHART_59" hidden="1">[1]Livestock2005!#REF!</definedName>
    <definedName name="_5960__123Graph_XCHART_59" hidden="1">[1]Livestock2005!#REF!</definedName>
    <definedName name="_597__123Graph_DCHART_39" hidden="1">[1]Livestock2005!#REF!</definedName>
    <definedName name="_598__123Graph_XCHART_6" hidden="1">[1]Livestock2005!#REF!</definedName>
    <definedName name="_5980__123Graph_XCHART_6" hidden="1">[1]Livestock2005!#REF!</definedName>
    <definedName name="_6__123Graph_ACHART_10" hidden="1">[1]Livestock2005!#REF!</definedName>
    <definedName name="_6__123Graph_ACHART_100" hidden="1">[1]Livestock2005!#REF!</definedName>
    <definedName name="_6__123Graph_ACHART_11" hidden="1">[1]Livestock2005!#REF!</definedName>
    <definedName name="_60__123Graph_ACHART_100" hidden="1">[1]Livestock2005!#REF!</definedName>
    <definedName name="_60__123Graph_ACHART_130" hidden="1">[1]Livestock2005!#REF!</definedName>
    <definedName name="_60__123Graph_ACHART_14" hidden="1">[1]Livestock2005!#REF!</definedName>
    <definedName name="_60__123Graph_ACHART_4" hidden="1">[1]Livestock2005!#REF!</definedName>
    <definedName name="_600__123Graph_ACHART_14" hidden="1">[1]Livestock2005!#REF!</definedName>
    <definedName name="_600__123Graph_DCHART_45" hidden="1">[1]Livestock2005!#REF!</definedName>
    <definedName name="_600__123Graph_XCHART_62" hidden="1">[1]Livestock2005!#REF!</definedName>
    <definedName name="_6000__123Graph_XCHART_62" hidden="1">[1]Livestock2005!#REF!</definedName>
    <definedName name="_602__123Graph_XCHART_68" hidden="1">[1]Livestock2005!#REF!</definedName>
    <definedName name="_6020__123Graph_XCHART_68" hidden="1">[1]Livestock2005!#REF!</definedName>
    <definedName name="_603__123Graph_DCHART_47" hidden="1">[1]Livestock2005!#REF!</definedName>
    <definedName name="_604__123Graph_XCHART_69" hidden="1">[1]Livestock2005!#REF!</definedName>
    <definedName name="_6040__123Graph_XCHART_69" hidden="1">[1]Livestock2005!#REF!</definedName>
    <definedName name="_606__123Graph_DCHART_52" hidden="1">[1]Livestock2005!#REF!</definedName>
    <definedName name="_606__123Graph_XCHART_70" hidden="1">[1]Livestock2005!#REF!</definedName>
    <definedName name="_6060__123Graph_XCHART_70" hidden="1">[1]Livestock2005!#REF!</definedName>
    <definedName name="_608__123Graph_XCHART_71" hidden="1">[1]Livestock2005!#REF!</definedName>
    <definedName name="_6080__123Graph_XCHART_71" hidden="1">[1]Livestock2005!#REF!</definedName>
    <definedName name="_609__123Graph_DCHART_53" hidden="1">[1]Livestock2005!#REF!</definedName>
    <definedName name="_61__123Graph_ACHART_47" hidden="1">[1]Livestock2005!#REF!</definedName>
    <definedName name="_610__123Graph_XCHART_73" hidden="1">[1]Livestock2005!#REF!</definedName>
    <definedName name="_6100__123Graph_XCHART_73" hidden="1">[1]Livestock2005!#REF!</definedName>
    <definedName name="_612__123Graph_DCHART_54" hidden="1">[1]Livestock2005!#REF!</definedName>
    <definedName name="_612__123Graph_XCHART_74" hidden="1">[1]Livestock2005!#REF!</definedName>
    <definedName name="_6120__123Graph_XCHART_74" hidden="1">[1]Livestock2005!#REF!</definedName>
    <definedName name="_614__123Graph_XCHART_75" hidden="1">[1]Livestock2005!#REF!</definedName>
    <definedName name="_6140__123Graph_XCHART_75" hidden="1">[1]Livestock2005!#REF!</definedName>
    <definedName name="_615__123Graph_DCHART_55" hidden="1">[1]Livestock2005!#REF!</definedName>
    <definedName name="_616__123Graph_XCHART_76" hidden="1">[1]Livestock2005!#REF!</definedName>
    <definedName name="_6160__123Graph_XCHART_76" hidden="1">[1]Livestock2005!#REF!</definedName>
    <definedName name="_618__123Graph_DCHART_57" hidden="1">[1]Livestock2005!#REF!</definedName>
    <definedName name="_618__123Graph_XCHART_77" hidden="1">[1]Livestock2005!#REF!</definedName>
    <definedName name="_6180__123Graph_XCHART_77" hidden="1">[1]Livestock2005!#REF!</definedName>
    <definedName name="_62__123Graph_ACHART_140" hidden="1">[1]Livestock2005!#REF!</definedName>
    <definedName name="_62__123Graph_ACHART_48" hidden="1">[1]Livestock2005!#REF!</definedName>
    <definedName name="_620__123Graph_ACHART_140" hidden="1">[1]Livestock2005!#REF!</definedName>
    <definedName name="_620__123Graph_XCHART_78" hidden="1">[1]Livestock2005!#REF!</definedName>
    <definedName name="_6200__123Graph_XCHART_78" hidden="1">[1]Livestock2005!#REF!</definedName>
    <definedName name="_621__123Graph_DCHART_58" hidden="1">[1]Livestock2005!#REF!</definedName>
    <definedName name="_622__123Graph_XCHART_80" hidden="1">[1]Livestock2005!#REF!</definedName>
    <definedName name="_6220__123Graph_XCHART_80" hidden="1">[1]Livestock2005!#REF!</definedName>
    <definedName name="_624__123Graph_DCHART_59" hidden="1">[1]Livestock2005!#REF!</definedName>
    <definedName name="_624__123Graph_XCHART_81" hidden="1">[1]Livestock2005!#REF!</definedName>
    <definedName name="_6240__123Graph_XCHART_81" hidden="1">[1]Livestock2005!#REF!</definedName>
    <definedName name="_626__123Graph_XCHART_82" hidden="1">[1]Livestock2005!#REF!</definedName>
    <definedName name="_6260__123Graph_XCHART_82" hidden="1">[1]Livestock2005!#REF!</definedName>
    <definedName name="_627__123Graph_DCHART_68" hidden="1">[1]Livestock2005!#REF!</definedName>
    <definedName name="_63__123Graph_ACHART_131" hidden="1">[1]Livestock2005!#REF!</definedName>
    <definedName name="_63__123Graph_ACHART_49" hidden="1">[1]Livestock2005!#REF!</definedName>
    <definedName name="_630__123Graph_DCHART_70" hidden="1">[1]Livestock2005!#REF!</definedName>
    <definedName name="_633__123Graph_DCHART_72" hidden="1">[1]Livestock2005!#REF!</definedName>
    <definedName name="_636__123Graph_DCHART_73" hidden="1">[1]Livestock2005!#REF!</definedName>
    <definedName name="_639__123Graph_ECHART_45" hidden="1">[1]Livestock2005!#REF!</definedName>
    <definedName name="_64__123Graph_ACHART_141" hidden="1">[1]Livestock2005!#REF!</definedName>
    <definedName name="_64__123Graph_ACHART_5" hidden="1">[1]Livestock2005!#REF!</definedName>
    <definedName name="_640__123Graph_ACHART_141" hidden="1">[1]Livestock2005!#REF!</definedName>
    <definedName name="_642__123Graph_ECHART_46" hidden="1">[1]Livestock2005!#REF!</definedName>
    <definedName name="_645__123Graph_ECHART_52" hidden="1">[1]Livestock2005!#REF!</definedName>
    <definedName name="_648__123Graph_ECHART_53" hidden="1">[1]Livestock2005!#REF!</definedName>
    <definedName name="_65__123Graph_ACHART_50" hidden="1">[1]Livestock2005!#REF!</definedName>
    <definedName name="_651__123Graph_ECHART_54" hidden="1">[1]Livestock2005!#REF!</definedName>
    <definedName name="_654__123Graph_ECHART_55" hidden="1">[1]Livestock2005!#REF!</definedName>
    <definedName name="_657__123Graph_ECHART_57" hidden="1">[1]Livestock2005!#REF!</definedName>
    <definedName name="_66__123Graph_ACHART_132" hidden="1">[1]Livestock2005!#REF!</definedName>
    <definedName name="_66__123Graph_ACHART_142" hidden="1">[1]Livestock2005!#REF!</definedName>
    <definedName name="_66__123Graph_ACHART_51" hidden="1">[1]Livestock2005!#REF!</definedName>
    <definedName name="_660__123Graph_ACHART_142" hidden="1">[1]Livestock2005!#REF!</definedName>
    <definedName name="_660__123Graph_ECHART_58" hidden="1">[1]Livestock2005!#REF!</definedName>
    <definedName name="_663__123Graph_ECHART_60" hidden="1">[1]Livestock2005!#REF!</definedName>
    <definedName name="_666__123Graph_ECHART_70" hidden="1">[1]Livestock2005!#REF!</definedName>
    <definedName name="_669__123Graph_ECHART_71" hidden="1">[1]Livestock2005!#REF!</definedName>
    <definedName name="_67__123Graph_ACHART_52" hidden="1">[1]Livestock2005!#REF!</definedName>
    <definedName name="_672__123Graph_ECHART_72" hidden="1">[1]Livestock2005!#REF!</definedName>
    <definedName name="_675__123Graph_FCHART_53" hidden="1">[1]Livestock2005!#REF!</definedName>
    <definedName name="_678__123Graph_FCHART_54" hidden="1">[1]Livestock2005!#REF!</definedName>
    <definedName name="_68__123Graph_ACHART_143" hidden="1">[1]Livestock2005!#REF!</definedName>
    <definedName name="_68__123Graph_ACHART_53" hidden="1">[1]Livestock2005!#REF!</definedName>
    <definedName name="_680__123Graph_ACHART_143" hidden="1">[1]Livestock2005!#REF!</definedName>
    <definedName name="_681__123Graph_FCHART_55" hidden="1">[1]Livestock2005!#REF!</definedName>
    <definedName name="_684__123Graph_FCHART_61" hidden="1">[1]Livestock2005!#REF!</definedName>
    <definedName name="_687__123Graph_FCHART_63" hidden="1">[1]Livestock2005!#REF!</definedName>
    <definedName name="_69__123Graph_ACHART_133" hidden="1">[1]Livestock2005!#REF!</definedName>
    <definedName name="_69__123Graph_ACHART_54" hidden="1">[1]Livestock2005!#REF!</definedName>
    <definedName name="_690__123Graph_XCHART_1" hidden="1">[1]Livestock2005!#REF!</definedName>
    <definedName name="_693__123Graph_XCHART_10" hidden="1">[1]Livestock2005!#REF!</definedName>
    <definedName name="_696__123Graph_XCHART_11" hidden="1">[1]Livestock2005!#REF!</definedName>
    <definedName name="_699__123Graph_XCHART_12" hidden="1">[1]Livestock2005!#REF!</definedName>
    <definedName name="_7__123Graph_ACHART_110" hidden="1">[1]Livestock2005!#REF!</definedName>
    <definedName name="_70__123Graph_ACHART_144" hidden="1">[1]Livestock2005!#REF!</definedName>
    <definedName name="_70__123Graph_ACHART_56" hidden="1">[1]Livestock2005!#REF!</definedName>
    <definedName name="_700__123Graph_ACHART_144" hidden="1">[1]Livestock2005!#REF!</definedName>
    <definedName name="_702__123Graph_XCHART_123" hidden="1">[1]Livestock2005!#REF!</definedName>
    <definedName name="_705__123Graph_XCHART_124" hidden="1">[1]Livestock2005!#REF!</definedName>
    <definedName name="_708__123Graph_XCHART_125" hidden="1">[1]Livestock2005!#REF!</definedName>
    <definedName name="_71__123Graph_ACHART_57" hidden="1">[1]Livestock2005!#REF!</definedName>
    <definedName name="_711__123Graph_XCHART_126" hidden="1">[1]Livestock2005!#REF!</definedName>
    <definedName name="_714__123Graph_XCHART_127" hidden="1">[1]Livestock2005!#REF!</definedName>
    <definedName name="_717__123Graph_XCHART_128" hidden="1">[1]Livestock2005!#REF!</definedName>
    <definedName name="_72__123Graph_ACHART_134" hidden="1">[1]Livestock2005!#REF!</definedName>
    <definedName name="_72__123Graph_ACHART_145" hidden="1">[1]Livestock2005!#REF!</definedName>
    <definedName name="_72__123Graph_ACHART_58" hidden="1">[1]Livestock2005!#REF!</definedName>
    <definedName name="_720__123Graph_ACHART_145" hidden="1">[1]Livestock2005!#REF!</definedName>
    <definedName name="_720__123Graph_XCHART_129" hidden="1">[1]Livestock2005!#REF!</definedName>
    <definedName name="_723__123Graph_XCHART_13" hidden="1">[1]Livestock2005!#REF!</definedName>
    <definedName name="_726__123Graph_XCHART_130" hidden="1">[1]Livestock2005!#REF!</definedName>
    <definedName name="_729__123Graph_XCHART_131" hidden="1">[1]Livestock2005!#REF!</definedName>
    <definedName name="_73__123Graph_ACHART_59" hidden="1">[1]Livestock2005!#REF!</definedName>
    <definedName name="_732__123Graph_XCHART_132" hidden="1">[1]Livestock2005!#REF!</definedName>
    <definedName name="_735__123Graph_XCHART_133" hidden="1">[1]Livestock2005!#REF!</definedName>
    <definedName name="_738__123Graph_XCHART_134" hidden="1">[1]Livestock2005!#REF!</definedName>
    <definedName name="_74__123Graph_ACHART_146" hidden="1">[1]Livestock2005!#REF!</definedName>
    <definedName name="_74__123Graph_ACHART_6" hidden="1">[1]Livestock2005!#REF!</definedName>
    <definedName name="_740__123Graph_ACHART_146" hidden="1">[1]Livestock2005!#REF!</definedName>
    <definedName name="_741__123Graph_XCHART_135" hidden="1">[1]Livestock2005!#REF!</definedName>
    <definedName name="_744__123Graph_XCHART_136" hidden="1">[1]Livestock2005!#REF!</definedName>
    <definedName name="_747__123Graph_XCHART_137" hidden="1">[1]Livestock2005!#REF!</definedName>
    <definedName name="_75__123Graph_ACHART_135" hidden="1">[1]Livestock2005!#REF!</definedName>
    <definedName name="_75__123Graph_ACHART_61" hidden="1">[1]Livestock2005!#REF!</definedName>
    <definedName name="_750__123Graph_XCHART_138" hidden="1">[1]Livestock2005!#REF!</definedName>
    <definedName name="_753__123Graph_XCHART_139" hidden="1">[1]Livestock2005!#REF!</definedName>
    <definedName name="_756__123Graph_XCHART_14" hidden="1">[1]Livestock2005!#REF!</definedName>
    <definedName name="_759__123Graph_XCHART_140" hidden="1">[1]Livestock2005!#REF!</definedName>
    <definedName name="_76__123Graph_ACHART_147" hidden="1">[1]Livestock2005!#REF!</definedName>
    <definedName name="_76__123Graph_ACHART_62" hidden="1">[1]Livestock2005!#REF!</definedName>
    <definedName name="_760__123Graph_ACHART_147" hidden="1">[1]Livestock2005!#REF!</definedName>
    <definedName name="_762__123Graph_XCHART_141" hidden="1">[1]Livestock2005!#REF!</definedName>
    <definedName name="_765__123Graph_XCHART_142" hidden="1">[1]Livestock2005!#REF!</definedName>
    <definedName name="_768__123Graph_XCHART_143" hidden="1">[1]Livestock2005!#REF!</definedName>
    <definedName name="_77__123Graph_ACHART_68" hidden="1">[1]Livestock2005!#REF!</definedName>
    <definedName name="_771__123Graph_XCHART_144" hidden="1">[1]Livestock2005!#REF!</definedName>
    <definedName name="_774__123Graph_XCHART_145" hidden="1">[1]Livestock2005!#REF!</definedName>
    <definedName name="_777__123Graph_XCHART_146" hidden="1">[1]Livestock2005!#REF!</definedName>
    <definedName name="_78__123Graph_ACHART_136" hidden="1">[1]Livestock2005!#REF!</definedName>
    <definedName name="_78__123Graph_ACHART_148" hidden="1">[1]Livestock2005!#REF!</definedName>
    <definedName name="_78__123Graph_ACHART_69" hidden="1">[1]Livestock2005!#REF!</definedName>
    <definedName name="_780__123Graph_ACHART_148" hidden="1">[1]Livestock2005!#REF!</definedName>
    <definedName name="_780__123Graph_XCHART_147" hidden="1">[1]Livestock2005!#REF!</definedName>
    <definedName name="_783__123Graph_XCHART_148" hidden="1">[1]Livestock2005!#REF!</definedName>
    <definedName name="_786__123Graph_XCHART_149" hidden="1">[1]Livestock2005!#REF!</definedName>
    <definedName name="_789__123Graph_XCHART_15" hidden="1">[1]Livestock2005!#REF!</definedName>
    <definedName name="_79__123Graph_ACHART_7" hidden="1">[1]Livestock2005!#REF!</definedName>
    <definedName name="_792__123Graph_XCHART_150" hidden="1">[1]Livestock2005!#REF!</definedName>
    <definedName name="_795__123Graph_XCHART_151" hidden="1">[1]Livestock2005!#REF!</definedName>
    <definedName name="_798__123Graph_XCHART_152" hidden="1">[1]Livestock2005!#REF!</definedName>
    <definedName name="_8__123Graph_ACHART_101" hidden="1">[1]Livestock2005!#REF!</definedName>
    <definedName name="_8__123Graph_ACHART_114" hidden="1">[1]Livestock2005!#REF!</definedName>
    <definedName name="_80__123Graph_ACHART_101" hidden="1">[1]Livestock2005!#REF!</definedName>
    <definedName name="_80__123Graph_ACHART_149" hidden="1">[1]Livestock2005!#REF!</definedName>
    <definedName name="_80__123Graph_ACHART_70" hidden="1">[1]Livestock2005!#REF!</definedName>
    <definedName name="_800__123Graph_ACHART_149" hidden="1">[1]Livestock2005!#REF!</definedName>
    <definedName name="_801__123Graph_XCHART_153" hidden="1">[1]Livestock2005!#REF!</definedName>
    <definedName name="_804__123Graph_XCHART_154" hidden="1">[1]Livestock2005!#REF!</definedName>
    <definedName name="_807__123Graph_XCHART_155" hidden="1">[1]Livestock2005!#REF!</definedName>
    <definedName name="_81__123Graph_ACHART_137" hidden="1">[1]Livestock2005!#REF!</definedName>
    <definedName name="_81__123Graph_ACHART_71" hidden="1">[1]Livestock2005!#REF!</definedName>
    <definedName name="_810__123Graph_XCHART_156" hidden="1">[1]Livestock2005!#REF!</definedName>
    <definedName name="_813__123Graph_XCHART_16" hidden="1">[1]Livestock2005!#REF!</definedName>
    <definedName name="_816__123Graph_XCHART_17" hidden="1">[1]Livestock2005!#REF!</definedName>
    <definedName name="_819__123Graph_XCHART_18" hidden="1">[1]Livestock2005!#REF!</definedName>
    <definedName name="_82__123Graph_ACHART_15" hidden="1">[1]Livestock2005!#REF!</definedName>
    <definedName name="_82__123Graph_ACHART_72" hidden="1">[1]Livestock2005!#REF!</definedName>
    <definedName name="_820__123Graph_ACHART_15" hidden="1">[1]Livestock2005!#REF!</definedName>
    <definedName name="_822__123Graph_XCHART_19" hidden="1">[1]Livestock2005!#REF!</definedName>
    <definedName name="_825__123Graph_XCHART_2" hidden="1">[1]Livestock2005!#REF!</definedName>
    <definedName name="_828__123Graph_XCHART_20" hidden="1">[1]Livestock2005!#REF!</definedName>
    <definedName name="_83__123Graph_ACHART_73" hidden="1">[1]Livestock2005!#REF!</definedName>
    <definedName name="_831__123Graph_XCHART_21" hidden="1">[1]Livestock2005!#REF!</definedName>
    <definedName name="_834__123Graph_XCHART_22" hidden="1">[1]Livestock2005!#REF!</definedName>
    <definedName name="_837__123Graph_XCHART_23" hidden="1">[1]Livestock2005!#REF!</definedName>
    <definedName name="_84__123Graph_ACHART_138" hidden="1">[1]Livestock2005!#REF!</definedName>
    <definedName name="_84__123Graph_ACHART_150" hidden="1">[1]Livestock2005!#REF!</definedName>
    <definedName name="_84__123Graph_ACHART_74" hidden="1">[1]Livestock2005!#REF!</definedName>
    <definedName name="_840__123Graph_ACHART_150" hidden="1">[1]Livestock2005!#REF!</definedName>
    <definedName name="_840__123Graph_XCHART_24" hidden="1">[1]Livestock2005!#REF!</definedName>
    <definedName name="_843__123Graph_XCHART_3" hidden="1">[1]Livestock2005!#REF!</definedName>
    <definedName name="_846__123Graph_XCHART_4" hidden="1">[1]Livestock2005!#REF!</definedName>
    <definedName name="_849__123Graph_XCHART_45" hidden="1">[1]Livestock2005!#REF!</definedName>
    <definedName name="_85__123Graph_ACHART_75" hidden="1">[1]Livestock2005!#REF!</definedName>
    <definedName name="_852__123Graph_XCHART_46" hidden="1">[1]Livestock2005!#REF!</definedName>
    <definedName name="_855__123Graph_XCHART_47" hidden="1">[1]Livestock2005!#REF!</definedName>
    <definedName name="_858__123Graph_XCHART_48" hidden="1">[1]Livestock2005!#REF!</definedName>
    <definedName name="_86__123Graph_ACHART_151" hidden="1">[1]Livestock2005!#REF!</definedName>
    <definedName name="_86__123Graph_ACHART_76" hidden="1">[1]Livestock2005!#REF!</definedName>
    <definedName name="_860__123Graph_ACHART_151" hidden="1">[1]Livestock2005!#REF!</definedName>
    <definedName name="_861__123Graph_XCHART_49" hidden="1">[1]Livestock2005!#REF!</definedName>
    <definedName name="_864__123Graph_XCHART_5" hidden="1">[1]Livestock2005!#REF!</definedName>
    <definedName name="_867__123Graph_XCHART_50" hidden="1">[1]Livestock2005!#REF!</definedName>
    <definedName name="_87__123Graph_ACHART_139" hidden="1">[1]Livestock2005!#REF!</definedName>
    <definedName name="_87__123Graph_ACHART_77" hidden="1">[1]Livestock2005!#REF!</definedName>
    <definedName name="_870__123Graph_XCHART_51" hidden="1">[1]Livestock2005!#REF!</definedName>
    <definedName name="_873__123Graph_XCHART_52" hidden="1">[1]Livestock2005!#REF!</definedName>
    <definedName name="_876__123Graph_XCHART_53" hidden="1">[1]Livestock2005!#REF!</definedName>
    <definedName name="_879__123Graph_XCHART_54" hidden="1">[1]Livestock2005!#REF!</definedName>
    <definedName name="_88__123Graph_ACHART_152" hidden="1">[1]Livestock2005!#REF!</definedName>
    <definedName name="_88__123Graph_ACHART_78" hidden="1">[1]Livestock2005!#REF!</definedName>
    <definedName name="_880__123Graph_ACHART_152" hidden="1">[1]Livestock2005!#REF!</definedName>
    <definedName name="_882__123Graph_XCHART_55" hidden="1">[1]Livestock2005!#REF!</definedName>
    <definedName name="_885__123Graph_XCHART_56" hidden="1">[1]Livestock2005!#REF!</definedName>
    <definedName name="_888__123Graph_XCHART_57" hidden="1">[1]Livestock2005!#REF!</definedName>
    <definedName name="_89__123Graph_ACHART_8" hidden="1">[1]Livestock2005!#REF!</definedName>
    <definedName name="_891__123Graph_XCHART_58" hidden="1">[1]Livestock2005!#REF!</definedName>
    <definedName name="_894__123Graph_XCHART_59" hidden="1">[1]Livestock2005!#REF!</definedName>
    <definedName name="_897__123Graph_XCHART_6" hidden="1">[1]Livestock2005!#REF!</definedName>
    <definedName name="_9__123Graph_ACHART_100" hidden="1">[1]Livestock2005!#REF!</definedName>
    <definedName name="_9__123Graph_ACHART_115" hidden="1">[1]Livestock2005!#REF!</definedName>
    <definedName name="_90__123Graph_ACHART_14" hidden="1">[1]Livestock2005!#REF!</definedName>
    <definedName name="_90__123Graph_ACHART_153" hidden="1">[1]Livestock2005!#REF!</definedName>
    <definedName name="_90__123Graph_ACHART_80" hidden="1">[1]Livestock2005!#REF!</definedName>
    <definedName name="_900__123Graph_ACHART_153" hidden="1">[1]Livestock2005!#REF!</definedName>
    <definedName name="_900__123Graph_XCHART_62" hidden="1">[1]Livestock2005!#REF!</definedName>
    <definedName name="_903__123Graph_XCHART_68" hidden="1">[1]Livestock2005!#REF!</definedName>
    <definedName name="_906__123Graph_XCHART_69" hidden="1">[1]Livestock2005!#REF!</definedName>
    <definedName name="_909__123Graph_XCHART_70" hidden="1">[1]Livestock2005!#REF!</definedName>
    <definedName name="_91__123Graph_ACHART_81" hidden="1">[1]Livestock2005!#REF!</definedName>
    <definedName name="_912__123Graph_XCHART_71" hidden="1">[1]Livestock2005!#REF!</definedName>
    <definedName name="_915__123Graph_XCHART_73" hidden="1">[1]Livestock2005!#REF!</definedName>
    <definedName name="_918__123Graph_XCHART_74" hidden="1">[1]Livestock2005!#REF!</definedName>
    <definedName name="_92__123Graph_ACHART_154" hidden="1">[1]Livestock2005!#REF!</definedName>
    <definedName name="_92__123Graph_ACHART_82" hidden="1">[1]Livestock2005!#REF!</definedName>
    <definedName name="_920__123Graph_ACHART_154" hidden="1">[1]Livestock2005!#REF!</definedName>
    <definedName name="_921__123Graph_XCHART_75" hidden="1">[1]Livestock2005!#REF!</definedName>
    <definedName name="_924__123Graph_XCHART_76" hidden="1">[1]Livestock2005!#REF!</definedName>
    <definedName name="_927__123Graph_XCHART_77" hidden="1">[1]Livestock2005!#REF!</definedName>
    <definedName name="_93__123Graph_ACHART_140" hidden="1">[1]Livestock2005!#REF!</definedName>
    <definedName name="_93__123Graph_ACHART_87" hidden="1">[1]Livestock2005!#REF!</definedName>
    <definedName name="_930__123Graph_XCHART_78" hidden="1">[1]Livestock2005!#REF!</definedName>
    <definedName name="_933__123Graph_XCHART_80" hidden="1">[1]Livestock2005!#REF!</definedName>
    <definedName name="_936__123Graph_XCHART_81" hidden="1">[1]Livestock2005!#REF!</definedName>
    <definedName name="_939__123Graph_XCHART_82" hidden="1">[1]Livestock2005!#REF!</definedName>
    <definedName name="_94__123Graph_ACHART_155" hidden="1">[1]Livestock2005!#REF!</definedName>
    <definedName name="_94__123Graph_ACHART_89" hidden="1">[1]Livestock2005!#REF!</definedName>
    <definedName name="_940__123Graph_ACHART_155" hidden="1">[1]Livestock2005!#REF!</definedName>
    <definedName name="_95__123Graph_ACHART_9" hidden="1">[1]Livestock2005!#REF!</definedName>
    <definedName name="_96__123Graph_ACHART_141" hidden="1">[1]Livestock2005!#REF!</definedName>
    <definedName name="_96__123Graph_ACHART_156" hidden="1">[1]Livestock2005!#REF!</definedName>
    <definedName name="_96__123Graph_ACHART_90" hidden="1">[1]Livestock2005!#REF!</definedName>
    <definedName name="_960__123Graph_ACHART_156" hidden="1">[1]Livestock2005!#REF!</definedName>
    <definedName name="_97__123Graph_ACHART_94" hidden="1">[1]Livestock2005!#REF!</definedName>
    <definedName name="_98__123Graph_ACHART_16" hidden="1">[1]Livestock2005!#REF!</definedName>
    <definedName name="_98__123Graph_ACHART_95" hidden="1">[1]Livestock2005!#REF!</definedName>
    <definedName name="_980__123Graph_ACHART_16" hidden="1">[1]Livestock2005!#REF!</definedName>
    <definedName name="_99__123Graph_ACHART_142" hidden="1">[1]Livestock2005!#REF!</definedName>
    <definedName name="_99__123Graph_ACHART_98" hidden="1">[1]Livestock2005!#REF!</definedName>
    <definedName name="_Fill" hidden="1">'[6]C.M.I.'!#REF!</definedName>
    <definedName name="_FILL2" hidden="1">'[7]Evol.Mensal - 1º sem.'!#REF!</definedName>
    <definedName name="_Key1" hidden="1">#REF!</definedName>
    <definedName name="_Key2" hidden="1">#REF!</definedName>
    <definedName name="_Order1" hidden="1">0</definedName>
    <definedName name="_Order2" hidden="1">255</definedName>
    <definedName name="_r" hidden="1">{"MULTIPLICAÇÃO",#N/A,FALSE,"Obras"}</definedName>
    <definedName name="_Regression_Int" hidden="1">1</definedName>
    <definedName name="_Sort" hidden="1">#REF!</definedName>
    <definedName name="_SPF01" hidden="1">{"MULTIPLICAÇÃO",#N/A,FALSE,"Obras"}</definedName>
    <definedName name="_SPF02" hidden="1">{"MULTIPLICAÇÃO",#N/A,FALSE,"Obras"}</definedName>
    <definedName name="_Table2_In1" hidden="1">[8]Warrants!#REF!</definedName>
    <definedName name="_Table2_Out" hidden="1">[8]Warrants!#REF!</definedName>
    <definedName name="_UB2" hidden="1">{"MULTIPLICAÇÃO",#N/A,FALSE,"Obras"}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dj_Market_Cap">[9]MASK!$B$18</definedName>
    <definedName name="aga" hidden="1">{"APOIO",#N/A,FALSE,"Obras"}</definedName>
    <definedName name="ale" hidden="1">{"'Total'!$A$1","'Total'!$A$3"}</definedName>
    <definedName name="all" hidden="1">{"'Total'!$A$1","'Total'!$A$3"}</definedName>
    <definedName name="alpha" hidden="1">{"'Total'!$A$1","'Total'!$A$3"}</definedName>
    <definedName name="alphaa" hidden="1">{"'Total'!$A$1","'Total'!$A$3"}</definedName>
    <definedName name="am" hidden="1">"iQHideSelected"</definedName>
    <definedName name="Ambie" hidden="1">{"'Total'!$A$1","'Total'!$A$3"}</definedName>
    <definedName name="Ambiencia1" hidden="1">{"'Total'!$A$1","'Total'!$A$3"}</definedName>
    <definedName name="APOIO" hidden="1">{"APOIO",#N/A,FALSE,"Obras"}</definedName>
    <definedName name="aq" hidden="1">[1]Livestock2005!#REF!</definedName>
    <definedName name="AS2DocOpenMode" hidden="1">"AS2DocumentEdit"</definedName>
    <definedName name="asa" hidden="1">[4]Balanço!#REF!</definedName>
    <definedName name="asdf" hidden="1">{"'Total'!$A$1","'Total'!$A$3"}</definedName>
    <definedName name="askadlakdla" hidden="1">{"AVÓS",#N/A,FALSE,"Obras"}</definedName>
    <definedName name="asokdhua" hidden="1">{"MATRIZES",#N/A,FALSE,"Obras"}</definedName>
    <definedName name="automatico" hidden="1">{"MULTIPLICAÇÃO",#N/A,FALSE,"Obras"}</definedName>
    <definedName name="az" hidden="1">{"MULTIPLICAÇÃO",#N/A,FALSE,"Obras"}</definedName>
    <definedName name="BALANCAS1" hidden="1">{"AVÓS",#N/A,FALSE,"Obras"}</definedName>
    <definedName name="balancas2" hidden="1">{"AVÓS",#N/A,FALSE,"Obras"}</definedName>
    <definedName name="BALANÇAS2" hidden="1">{"MATRIZES",#N/A,FALSE,"Obras"}</definedName>
    <definedName name="Bazi" hidden="1">{"MULTIPLICAÇÃO",#N/A,FALSE,"Obras"}</definedName>
    <definedName name="beta" hidden="1">{"'Total'!$A$1","'Total'!$A$3"}</definedName>
    <definedName name="bh" hidden="1">{"MATRIZES",#N/A,FALSE,"Obras"}</definedName>
    <definedName name="BLPH1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5" hidden="1">#REF!</definedName>
    <definedName name="BLPH106" hidden="1">#REF!</definedName>
    <definedName name="BLPH107" hidden="1">#REF!</definedName>
    <definedName name="BLPH108" hidden="1">#REF!</definedName>
    <definedName name="BLPH109" hidden="1">#REF!</definedName>
    <definedName name="BLPH110" hidden="1">#REF!</definedName>
    <definedName name="BLPH111" hidden="1">#REF!</definedName>
    <definedName name="BLPH112" hidden="1">#REF!</definedName>
    <definedName name="BLPH113" hidden="1">#REF!</definedName>
    <definedName name="BLPH114" hidden="1">#REF!</definedName>
    <definedName name="BLPH115" hidden="1">#REF!</definedName>
    <definedName name="BLPH116" hidden="1">#REF!</definedName>
    <definedName name="BLPH117" hidden="1">#REF!</definedName>
    <definedName name="BLPH118" hidden="1">[10]base!$B$4</definedName>
    <definedName name="BLPH119" hidden="1">[10]base!$B$4:$C$142</definedName>
    <definedName name="BLPH120" hidden="1">[10]base!$F$4</definedName>
    <definedName name="BLPH121" hidden="1">[10]base!$F$4:$G$142</definedName>
    <definedName name="BLPH122" hidden="1">[10]base!$J$4</definedName>
    <definedName name="BLPH123" hidden="1">[10]base!$J$4:$K$142</definedName>
    <definedName name="BLPH124" hidden="1">[10]base!$N$4</definedName>
    <definedName name="BLPH125" hidden="1">[10]base!$N$4:$O$142</definedName>
    <definedName name="BLPH126" hidden="1">[10]base!$O$5</definedName>
    <definedName name="BLPH127" hidden="1">[10]base!$T$4</definedName>
    <definedName name="BLPH128" hidden="1">[10]base!$T$4:$U$142</definedName>
    <definedName name="BLPH129" hidden="1">[10]base!$U$5</definedName>
    <definedName name="BLPH130" hidden="1">[10]base!$Z$4</definedName>
    <definedName name="BLPH131" hidden="1">[10]base!$Z$4:$AA$142</definedName>
    <definedName name="BLPH132" hidden="1">[10]base!$AA$5</definedName>
    <definedName name="BLPH133" hidden="1">[10]base!$AF$4</definedName>
    <definedName name="BLPH134" hidden="1">[10]base!$AF$4:$AG$142</definedName>
    <definedName name="BLPH135" hidden="1">[10]base!$AG$5</definedName>
    <definedName name="BLPH136" hidden="1">[10]base!$AL$4</definedName>
    <definedName name="BLPH137" hidden="1">[10]base!$AL$4:$AM$142</definedName>
    <definedName name="BLPH138" hidden="1">[10]base!$AP$4</definedName>
    <definedName name="BLPH139" hidden="1">[10]base!$AV$4</definedName>
    <definedName name="BLPH140" hidden="1">[10]base!$AZ$4</definedName>
    <definedName name="BLPH141" hidden="1">[10]base!$BD$4</definedName>
    <definedName name="BLPH142" hidden="1">[10]base!$BD$4:$BE$142</definedName>
    <definedName name="BLPH143" hidden="1">#REF!</definedName>
    <definedName name="BLPH144" hidden="1">[10]daily!$B$4</definedName>
    <definedName name="BLPH145" hidden="1">[10]daily!$E$4</definedName>
    <definedName name="BLPH146" hidden="1">[10]daily!$H$4</definedName>
    <definedName name="BLPH147" hidden="1">[10]daily!$K$4</definedName>
    <definedName name="BLPH148" hidden="1">[10]daily!$N$4</definedName>
    <definedName name="BLPH149" hidden="1">[10]daily!$Q$4</definedName>
    <definedName name="BLPH150" hidden="1">[10]daily!$T$4</definedName>
    <definedName name="BLPH151" hidden="1">[10]daily!$W$4</definedName>
    <definedName name="BLPH152" hidden="1">[10]daily!$Z$4</definedName>
    <definedName name="BLPH153" hidden="1">[10]daily!$AC$4</definedName>
    <definedName name="BLPH154" hidden="1">[10]daily!$AF$4</definedName>
    <definedName name="BLPH155" hidden="1">[10]daily!$AI$4</definedName>
    <definedName name="BLPH156" hidden="1">[10]daily!$K$5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77" hidden="1">[10]base!$B$150</definedName>
    <definedName name="BLPH78" hidden="1">[10]base!$E$150</definedName>
    <definedName name="BLPH79" hidden="1">[10]base!$J$150</definedName>
    <definedName name="BLPH80" hidden="1">[10]base!$M$150</definedName>
    <definedName name="BLPH81" hidden="1">[10]base!$P$150</definedName>
    <definedName name="BLPH82" hidden="1">[10]base!$S$150</definedName>
    <definedName name="BLPH83" hidden="1">[10]base!$V$150</definedName>
    <definedName name="BLPH84" hidden="1">[10]base!$AL$150</definedName>
    <definedName name="BLPH85" hidden="1">[10]base!$AO$150</definedName>
    <definedName name="BLPH86" hidden="1">[10]base!$AR$150</definedName>
    <definedName name="BLPH87" hidden="1">[10]base!$AU$150</definedName>
    <definedName name="BLPH88" hidden="1">[10]base!$AX$150</definedName>
    <definedName name="BLPH89" hidden="1">[10]base!$R$154</definedName>
    <definedName name="BLPH90" hidden="1">[10]base!$U$154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n" hidden="1">{"MULTIPLICAÇÃO",#N/A,FALSE,"Obras"}</definedName>
    <definedName name="bombacloroproj08" hidden="1">{"MULTIPLICAÇÃO",#N/A,FALSE,"Obras"}</definedName>
    <definedName name="BYD" hidden="1">{#N/A,#N/A,FALSE,"Earn'gs &amp; Val'n";#N/A,#N/A,FALSE,"Interim"}</definedName>
    <definedName name="cash" hidden="1">{#N/A,#N/A,TRUE,"Consolidado";#N/A,#N/A,TRUE,"Laticínios";#N/A,#N/A,TRUE,"Frangos";#N/A,#N/A,TRUE,"Suínos";#N/A,#N/A,TRUE,"Peru";#N/A,#N/A,TRUE,"Carnes";#N/A,#N/A,TRUE,"Suco";#N/A,#N/A,TRUE,"Batata"}</definedName>
    <definedName name="cc" hidden="1">{"'Total'!$A$1","'Total'!$A$3"}</definedName>
    <definedName name="ccc" hidden="1">{"AVÓS",#N/A,FALSE,"Obras"}</definedName>
    <definedName name="cccc" hidden="1">{"'Total'!$A$1","'Total'!$A$3"}</definedName>
    <definedName name="celta" hidden="1">{"'Total'!$A$1","'Total'!$A$3"}</definedName>
    <definedName name="Claudio" hidden="1">{"MATRIZES",#N/A,FALSE,"Obras"}</definedName>
    <definedName name="COLUMN_CURR_YEAR">[9]MASK!$EV$10</definedName>
    <definedName name="COLUMN_FISCAL_YEAR">[9]MASK!$EV$16</definedName>
    <definedName name="COLUMN_LAST_QUARTER">[9]MASK!$EV$11</definedName>
    <definedName name="comed" hidden="1">{"MULTIPLICAÇÃO",#N/A,FALSE,"Obras"}</definedName>
    <definedName name="COMEDOURO" hidden="1">{"MULTIPLICAÇÃO",#N/A,FALSE,"Obras"}</definedName>
    <definedName name="comedouros" hidden="1">{"MULTIPLICAÇÃO",#N/A,FALSE,"Obras"}</definedName>
    <definedName name="cronograma" hidden="1">{"MULTIPLICAÇÃO",#N/A,FALSE,"Obras"}</definedName>
    <definedName name="cu102.ShareScalingFactor" hidden="1">1000000</definedName>
    <definedName name="cu103.EmployeeScalingFactor" hidden="1">1000</definedName>
    <definedName name="cu107.DPSSymbol" hidden="1">"P"</definedName>
    <definedName name="cu107.EPSSymbol" hidden="1">"R$"</definedName>
    <definedName name="cu71.ScalingFactor" hidden="1">1000000</definedName>
    <definedName name="Curr_EV">[9]MASK!$B$22</definedName>
    <definedName name="Curr_MCap">[9]MASK!$B$17</definedName>
    <definedName name="Current_Year">[9]MASK!$EV$9</definedName>
    <definedName name="cv" hidden="1">{"AVÓS",#N/A,FALSE,"Obras"}</definedName>
    <definedName name="dad" hidden="1">{"AVÓS",#N/A,FALSE,"Obras"}</definedName>
    <definedName name="Data">#REF!</definedName>
    <definedName name="dcf" hidden="1">{#N/A,#N/A,FALSE,"Summary";#N/A,#N/A,FALSE,"MDBA";#N/A,#N/A,FALSE,"Annual";#N/A,#N/A,FALSE,"Qrtly";#N/A,#N/A,FALSE,"Rates";#N/A,#N/A,FALSE,"CA Sales";#N/A,#N/A,FALSE,"CA SalesQtr";#N/A,#N/A,FALSE,"CA Profit";#N/A,#N/A,FALSE,"CA ProfitQtr";#N/A,#N/A,FALSE,"MD Military Aircraft";#N/A,#N/A,FALSE,"MD Space &amp; Finance";#N/A,#N/A,FALSE,"MD Commercial";#N/A,#N/A,FALSE,"MD Commercial";#N/A,#N/A,FALSE,"Space&amp;Mil.";#N/A,#N/A,FALSE,"Space&amp;DefQtr";#N/A,#N/A,FALSE,"Balance Sht";#N/A,#N/A,FALSE,"Balance Sht";#N/A,#N/A,FALSE,"BalanceShtQtr";#N/A,#N/A,FALSE,"Cash Flow Summary";#N/A,#N/A,FALSE,"Cashflow";#N/A,#N/A,FALSE,"CashflowQtr"}</definedName>
    <definedName name="ddd" hidden="1">{#N/A,#N/A,TRUE,"Consolidado";#N/A,#N/A,TRUE,"Laticínios";#N/A,#N/A,TRUE,"Frangos";#N/A,#N/A,TRUE,"Suínos";#N/A,#N/A,TRUE,"Peru";#N/A,#N/A,TRUE,"Carnes";#N/A,#N/A,TRUE,"Suco";#N/A,#N/A,TRUE,"Batata"}</definedName>
    <definedName name="dewf" hidden="1">#REF!</definedName>
    <definedName name="dm" hidden="1">{"APOIO",#N/A,FALSE,"Obras"}</definedName>
    <definedName name="ds" hidden="1">{"MULTIPLICAÇÃO",#N/A,FALSE,"Obras"}</definedName>
    <definedName name="dsa" hidden="1">{"MULTIPLICAÇÃO",#N/A,FALSE,"Obras"}</definedName>
    <definedName name="dsb" hidden="1">{"MULTIPLICAÇÃO",#N/A,FALSE,"Obras"}</definedName>
    <definedName name="Dvd_Paid">[9]MASK!$D$15</definedName>
    <definedName name="e" hidden="1">{#N/A,#N/A,FALSE,"Earn'gs &amp; Val'n";#N/A,#N/A,FALSE,"Interim"}</definedName>
    <definedName name="ea" hidden="1">{"AVÓS",#N/A,FALSE,"Obras"}</definedName>
    <definedName name="ee" hidden="1">{"'TG'!$A$1:$L$37"}</definedName>
    <definedName name="Elicoide" hidden="1">{"MULTIPLICAÇÃO",#N/A,FALSE,"Obras"}</definedName>
    <definedName name="EMBALAGEM" hidden="1">{"MULTIPLICAÇÃO",#N/A,FALSE,"Obras"}</definedName>
    <definedName name="er" hidden="1">{"MULTIPLICAÇÃO",#N/A,FALSE,"Obras"}</definedName>
    <definedName name="ESTEI01" hidden="1">{"MULTIPLICAÇÃO",#N/A,FALSE,"Obras"}</definedName>
    <definedName name="ESTEI02" hidden="1">{"AVÓS",#N/A,FALSE,"Obras"}</definedName>
    <definedName name="ESTEIR02" hidden="1">{"MULTIPLICAÇÃO",#N/A,FALSE,"Obras"}</definedName>
    <definedName name="ESTEIRA" hidden="1">{"MULTIPLICAÇÃO",#N/A,FALSE,"Obras"}</definedName>
    <definedName name="ESTEIRA01" hidden="1">{"MELHORAMENTO GENÉTICO",#N/A,FALSE,"Obras"}</definedName>
    <definedName name="esteira02" hidden="1">{"MELHORAMENTO GENÉTICO",#N/A,FALSE,"Obras"}</definedName>
    <definedName name="ESTEIRA1" hidden="1">{"AVÓS",#N/A,FALSE,"Obras"}</definedName>
    <definedName name="ev.Calculation" hidden="1">-4135</definedName>
    <definedName name="ev.Initialized" hidden="1">FALSE</definedName>
    <definedName name="ew" hidden="1">{"MULTIPLICAÇÃO",#N/A,FALSE,"Obras"}</definedName>
    <definedName name="Ext_DVD_Short_Term">[9]MASK!$B$19</definedName>
    <definedName name="Fair_Eq_Tdy_KeHigh">[9]MASK!$B$466</definedName>
    <definedName name="Fair_Eq_Tdy_KeLow">[9]MASK!$B$463</definedName>
    <definedName name="fff" hidden="1">{"'Total'!$A$1","'Total'!$A$3"}</definedName>
    <definedName name="ffv" hidden="1">{"'Total'!$A$1","'Total'!$A$3"}</definedName>
    <definedName name="fg" hidden="1">{"MULTIPLICAÇÃO",#N/A,FALSE,"Obras"}</definedName>
    <definedName name="fgdsgsdfgsdgsg" hidden="1">{"AVÓS",#N/A,FALSE,"Obras"}</definedName>
    <definedName name="Fiscal_Month">[9]MASK!$EV$15</definedName>
    <definedName name="Fiscal_Year">[9]MASK!$EV$8</definedName>
    <definedName name="Fx_manut2" hidden="1">{"AVÓS",#N/A,FALSE,"Obras"}</definedName>
    <definedName name="g" hidden="1">{"MULTIPLICAÇÃO",#N/A,FALSE,"Obras"}</definedName>
    <definedName name="G_Perp_Nominal">[9]MASK!$B$27</definedName>
    <definedName name="G_Perp_Real">[9]MASK!$B$25</definedName>
    <definedName name="gb" hidden="1">{"MULTIPLICAÇÃO",#N/A,FALSE,"Obras"}</definedName>
    <definedName name="ge" hidden="1">{"MULTIPLICAÇÃO",#N/A,FALSE,"Obras"}</definedName>
    <definedName name="gerenciador" hidden="1">{"AVÓS",#N/A,FALSE,"Obras"}</definedName>
    <definedName name="gg" hidden="1">{"AVÓS",#N/A,FALSE,"Obras"}</definedName>
    <definedName name="ggg" hidden="1">{"'Total'!$A$1","'Total'!$A$3"}</definedName>
    <definedName name="ghj" hidden="1">{"'Directory'!$A$72:$E$91"}</definedName>
    <definedName name="ghju" hidden="1">{"'Total'!$A$1","'Total'!$A$3"}</definedName>
    <definedName name="ghsdhsd" hidden="1">{"MULTIPLICAÇÃO",#N/A,FALSE,"Obras"}</definedName>
    <definedName name="ghy" hidden="1">{"'Directory'!$A$72:$E$91"}</definedName>
    <definedName name="GRA" hidden="1">{"'Total'!$A$1","'Total'!$A$3"}</definedName>
    <definedName name="Graos" hidden="1">'[11]historico mensal fechamento'!#REF!</definedName>
    <definedName name="H" hidden="1">{"'Total'!$A$1","'Total'!$A$3"}</definedName>
    <definedName name="hgt" hidden="1">{"'Directory'!$A$72:$E$91"}</definedName>
    <definedName name="hh" hidden="1">{"MULTIPLICAÇÃO",#N/A,FALSE,"Obras"}</definedName>
    <definedName name="hjdh" hidden="1">{"MATRIZES",#N/A,FALSE,"Obras"}</definedName>
    <definedName name="hk" hidden="1">{"'Directory'!$A$72:$E$91"}</definedName>
    <definedName name="hm" hidden="1">{"AVÓS",#N/A,FALSE,"Obras"}</definedName>
    <definedName name="Hoje">[9]MASK!$EV$13</definedName>
    <definedName name="HTML_CodePage" hidden="1">1252</definedName>
    <definedName name="HTML_Control" hidden="1">{"'Geral'!$A$1:$Q$36"}</definedName>
    <definedName name="HTML_Description" hidden="1">""</definedName>
    <definedName name="HTML_Email" hidden="1">""</definedName>
    <definedName name="HTML_Header" hidden="1">"Geral"</definedName>
    <definedName name="HTML_LastUpdate" hidden="1">"16/12/98"</definedName>
    <definedName name="HTML_LineAfter" hidden="1">FALSE</definedName>
    <definedName name="HTML_LineBefore" hidden="1">FALSE</definedName>
    <definedName name="HTML_Name" hidden="1">"Albina"</definedName>
    <definedName name="HTML_OBDlg2" hidden="1">TRUE</definedName>
    <definedName name="HTML_OBDlg4" hidden="1">TRUE</definedName>
    <definedName name="HTML_OS" hidden="1">0</definedName>
    <definedName name="HTML_PathFile" hidden="1">"G:\custo_r\Gerencial\DM_UnNeg_99\MeuHTML.htm"</definedName>
    <definedName name="HTML_Title" hidden="1">"RESUN99"</definedName>
    <definedName name="HTML1_11" hidden="1">1</definedName>
    <definedName name="HTML1_12" hidden="1">"C:\Irasia\mactopc\firstpachk\webpages\page 58 p and l 0713c.htm"</definedName>
    <definedName name="HTML1_2" hidden="1">-4146</definedName>
    <definedName name="HTML1_3" hidden="1">"C:\Irasia\mactopc\firstpachk\webpages\page 58 p and l 0713b.htm"</definedName>
    <definedName name="HTML2_11" hidden="1">1</definedName>
    <definedName name="HTML2_12" hidden="1">"C:\Irasia\mactopc\firstpachk\webpages\page 58 p and l 0713b.htm"</definedName>
    <definedName name="HTML2_2" hidden="1">-4146</definedName>
    <definedName name="HTML2_3" hidden="1">"C:\Irasia\mactopc\firstpachk\webpages\page 58 p and l 0713.htm"</definedName>
    <definedName name="HTMLCount" hidden="1">1</definedName>
    <definedName name="hy" hidden="1">{"MULTIPLICAÇÃO",#N/A,FALSE,"Obras"}</definedName>
    <definedName name="ik" hidden="1">{"MULTIPLICAÇÃO",#N/A,FALSE,"Obras"}</definedName>
    <definedName name="Img_ML_1a9i6f1a" hidden="1">"IMG_18"</definedName>
    <definedName name="Img_ML_1y7a6c1t" hidden="1">"IMG_11"</definedName>
    <definedName name="Img_ML_2b2b8h8h" hidden="1">"IMG_56"</definedName>
    <definedName name="Img_ML_2b4d2b3c" hidden="1">"IMG_17"</definedName>
    <definedName name="Img_ML_2v6s9i5c" hidden="1">"IMG_12"</definedName>
    <definedName name="Img_ML_3c7g1a7g" hidden="1">"IMG_18"</definedName>
    <definedName name="Img_ML_3c9i9i4d" hidden="1">"IMG_17"</definedName>
    <definedName name="Img_ML_3y1j4m2m" hidden="1">"IMG_12"</definedName>
    <definedName name="Img_ML_4d2b6f6f" hidden="1">"IMG_56"</definedName>
    <definedName name="Img_ML_5e1a1a7g" hidden="1">"IMG_17"</definedName>
    <definedName name="Img_ML_5e7g5e5e" hidden="1">"IMG_12"</definedName>
    <definedName name="Img_ML_5e9i9i2b" hidden="1">"IMG_56"</definedName>
    <definedName name="Img_ML_5h6q3g8u" hidden="1">"IMG_11"</definedName>
    <definedName name="Img_ML_6f9i2b5e" hidden="1">"IMG_17"</definedName>
    <definedName name="Img_ML_6k9c9p4d" hidden="1">"IMG_12"</definedName>
    <definedName name="Img_ML_6u1b6h4m" hidden="1">"IMG_12"</definedName>
    <definedName name="Img_ML_6y9f7y3n" hidden="1">"IMG_11"</definedName>
    <definedName name="Img_ML_7g5e5e2b" hidden="1">"IMG_11"</definedName>
    <definedName name="Img_ML_7m5m4k3b" hidden="1">"IMG_12"</definedName>
    <definedName name="Img_ML_7n6h3t1t" hidden="1">"IMG_11"</definedName>
    <definedName name="Img_ML_8a8m2p9x" hidden="1">"IMG_12"</definedName>
    <definedName name="Img_ML_8b9j5t1p" hidden="1">"IMG_12"</definedName>
    <definedName name="Img_ML_8h3m3i1m" hidden="1">"IMG_12"</definedName>
    <definedName name="Img_ML_8h5e9i3c" hidden="1">"IMG_12"</definedName>
    <definedName name="Img_ML_8h7g3c9i" hidden="1">"IMG_6"</definedName>
    <definedName name="Img_ML_8h7g4d4d" hidden="1">"IMG_18"</definedName>
    <definedName name="Img_ML_8j3w6p4c" hidden="1">"IMG_12"</definedName>
    <definedName name="Img_ML_8r1k8t4y" hidden="1">"IMG_11"</definedName>
    <definedName name="Img_ML_8s3q3c1i" hidden="1">"IMG_12"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40550.7376388889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38672.4962384259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Z_SCORE" hidden="1">"c1339"</definedName>
    <definedName name="iQShowHideColumns" hidden="1">"iQShowQuarterlyAnnual"</definedName>
    <definedName name="j" hidden="1">{"'Directory'!$A$72:$E$91"}</definedName>
    <definedName name="JD" hidden="1">{"'Total'!$A$1","'Total'!$A$3"}</definedName>
    <definedName name="jdk" hidden="1">{"'Total'!$A$1","'Total'!$A$3"}</definedName>
    <definedName name="jdklaSHDLKSHDLKA" hidden="1">{"MULTIPLICAÇÃO",#N/A,FALSE,"Obras"}</definedName>
    <definedName name="jg" hidden="1">{"MATRIZES",#N/A,FALSE,"Obras"}</definedName>
    <definedName name="jim" hidden="1">{"'Directory'!$A$72:$E$91"}</definedName>
    <definedName name="jjk" hidden="1">{"'Total'!$A$1","'Total'!$A$3"}</definedName>
    <definedName name="JOAO" hidden="1">{"AVÓS",#N/A,FALSE,"Obras"}</definedName>
    <definedName name="k" hidden="1">{"MULTIPLICAÇÃO",#N/A,FALSE,"Obras"}</definedName>
    <definedName name="ka" hidden="1">{"MATRIZES",#N/A,FALSE,"Obras"}</definedName>
    <definedName name="Ke_High">[9]MASK!$B$29</definedName>
    <definedName name="Ke_Low">[9]MASK!$B$28</definedName>
    <definedName name="KSLAL" hidden="1">{"MELHORAMENTO GENÉTICO",#N/A,FALSE,"Obras"}</definedName>
    <definedName name="LAST_QUARTER">[9]MASK!$B$6</definedName>
    <definedName name="LAST_QUARTER_DATE">[9]MASK!$EV$18</definedName>
    <definedName name="Laudo" hidden="1">{"APOIO",#N/A,FALSE,"Obras"}</definedName>
    <definedName name="LLL" hidden="1">{"MULTIPLICAÇÃO",#N/A,FALSE,"Obras"}</definedName>
    <definedName name="LT_Inflation">[9]MASK!$B$26</definedName>
    <definedName name="M_PlaceofPath" hidden="1">"\\SNYCEQT0100\HOME\LZURLO\DATA\TELMEX\Models\tmx_vdf.xls"</definedName>
    <definedName name="ma" hidden="1">{"MATRIZES",#N/A,FALSE,"Obras"}</definedName>
    <definedName name="Macedo" hidden="1">{"AVÓS",#N/A,FALSE,"Obras"}</definedName>
    <definedName name="márcio" hidden="1">{"'Total'!$A$1","'Total'!$A$3"}</definedName>
    <definedName name="Matrizes" hidden="1">{"MATRIZES",#N/A,FALSE,"Obras"}</definedName>
    <definedName name="mh" hidden="1">{"MULTIPLICAÇÃO",#N/A,FALSE,"Obras"}</definedName>
    <definedName name="mj" hidden="1">{"MELHORAMENTO GENÉTICO",#N/A,FALSE,"Obras"}</definedName>
    <definedName name="Modo_Operacao">[9]MASK!$C$671</definedName>
    <definedName name="motor" hidden="1">{"MULTIPLICAÇÃO",#N/A,FALSE,"Obras"}</definedName>
    <definedName name="Net_revenues">#REF!</definedName>
    <definedName name="newbel" hidden="1">{"'Directory'!$A$72:$E$91"}</definedName>
    <definedName name="newbls" hidden="1">{"'Directory'!$A$72:$E$91"}</definedName>
    <definedName name="newt" hidden="1">{"'Directory'!$A$72:$E$91"}</definedName>
    <definedName name="newwcom" hidden="1">{"'Directory'!$A$72:$E$91"}</definedName>
    <definedName name="NNN" hidden="1">[12]LS!#REF!</definedName>
    <definedName name="Novo" hidden="1">{"APOIO",#N/A,FALSE,"Obras"}</definedName>
    <definedName name="NPV_FiscalBenfit">[9]MASK!$B$20</definedName>
    <definedName name="NPV_NOMINAL">[9]MASK!$B$38</definedName>
    <definedName name="nt" hidden="1">{"MELHORAMENTO GENÉTICO",#N/A,FALSE,"Obras"}</definedName>
    <definedName name="nu" hidden="1">{"AVÓS",#N/A,FALSE,"Obras"}</definedName>
    <definedName name="OBRA" hidden="1">{"MULTIPLICAÇÃO",#N/A,FALSE,"Obras"}</definedName>
    <definedName name="obras" hidden="1">{"MULTIPLICAÇÃO",#N/A,FALSE,"Obras"}</definedName>
    <definedName name="OBRAS_FAB_RAC" hidden="1">{"MULTIPLICAÇÃO",#N/A,FALSE,"Obras"}</definedName>
    <definedName name="OBRAS_FAB_RAC_UDIA" hidden="1">{"MULTIPLICAÇÃO",#N/A,FALSE,"Obras"}</definedName>
    <definedName name="ooo" hidden="1">{#N/A,#N/A,TRUE,"Consolidado";#N/A,#N/A,TRUE,"Laticínios";#N/A,#N/A,TRUE,"Frangos";#N/A,#N/A,TRUE,"Suínos";#N/A,#N/A,TRUE,"Peru";#N/A,#N/A,TRUE,"Carnes";#N/A,#N/A,TRUE,"Suco";#N/A,#N/A,TRUE,"Batata"}</definedName>
    <definedName name="p" hidden="1">[12]LS!#REF!</definedName>
    <definedName name="pd." hidden="1">{"MULTIPLICAÇÃO",#N/A,FALSE,"Obras"}</definedName>
    <definedName name="pd.." hidden="1">{"MATRIZES",#N/A,FALSE,"Obras"}</definedName>
    <definedName name="pd..." hidden="1">{"MULTIPLICAÇÃO",#N/A,FALSE,"Obras"}</definedName>
    <definedName name="Pdca" hidden="1">{"MULTIPLICAÇÃO",#N/A,FALSE,"Obras"}</definedName>
    <definedName name="Pdca." hidden="1">{"MULTIPLICAÇÃO",#N/A,FALSE,"Obras"}</definedName>
    <definedName name="Pdca.." hidden="1">{"APOIO",#N/A,FALSE,"Obras"}</definedName>
    <definedName name="pdca...." hidden="1">{"MULTIPLICAÇÃO",#N/A,FALSE,"Obras"}</definedName>
    <definedName name="PDCA1" hidden="1">{"MATRIZES",#N/A,FALSE,"Obras"}</definedName>
    <definedName name="Perp_Year">[9]MASK!$B$24</definedName>
    <definedName name="pppp" hidden="1">{"'Total'!$A$1","'Total'!$A$3"}</definedName>
    <definedName name="PPPPP" hidden="1">{"AVÓS",#N/A,FALSE,"Obras"}</definedName>
    <definedName name="Proj" hidden="1">{"MATRIZES",#N/A,FALSE,"Obras"}</definedName>
    <definedName name="ProRata_Fiscal_Year">[9]MASK!$EV$12</definedName>
    <definedName name="qd" hidden="1">#REF!</definedName>
    <definedName name="Raimundo" hidden="1">{"APOIO",#N/A,FALSE,"Obras"}</definedName>
    <definedName name="RANGE_SCENARIOS">[9]MASK!$GD$16:$GN$16</definedName>
    <definedName name="re" hidden="1">{"MULTIPLICAÇÃO",#N/A,FALSE,"Obras"}</definedName>
    <definedName name="rebocco" hidden="1">{"AVÓS",#N/A,FALSE,"Obras"}</definedName>
    <definedName name="REC">#REF!</definedName>
    <definedName name="recenue" hidden="1">{#N/A,#N/A,FALSE,"Earn'gs &amp; Val'n";#N/A,#N/A,FALSE,"Interim"}</definedName>
    <definedName name="ROW_SELECTION">[9]MASK!$FZ$16</definedName>
    <definedName name="rr" hidden="1">{"AVÓS",#N/A,FALSE,"Obras"}</definedName>
    <definedName name="rt" hidden="1">{"APOIO",#N/A,FALSE,"Obras"}</definedName>
    <definedName name="rtyu" hidden="1">{"'Total'!$A$1","'Total'!$A$3"}</definedName>
    <definedName name="sadsr" hidden="1">{"AVÓS",#N/A,FALSE,"Obras"}</definedName>
    <definedName name="SAPBEXrevision" hidden="1">2</definedName>
    <definedName name="SAPBEXsysID" hidden="1">"BWP"</definedName>
    <definedName name="SAPBEXwbID" hidden="1">"3TAUJ9G4WJUDMWKPRW1O6YYWT"</definedName>
    <definedName name="sasd" hidden="1">{"'Total'!$A$1","'Total'!$A$3"}</definedName>
    <definedName name="SCENARIOS_CHOICE">[9]MASK!$AW$65</definedName>
    <definedName name="sdfg" hidden="1">{"'Total'!$A$1","'Total'!$A$3"}</definedName>
    <definedName name="SharesOut_Diluted">[9]MASK!$B$9</definedName>
    <definedName name="SIG_LngApp" hidden="1">[13]SIG_LANGUE!$A$2</definedName>
    <definedName name="sigma" hidden="1">{"'Total'!$A$1","'Total'!$A$3"}</definedName>
    <definedName name="Summary" hidden="1">{"Income (All hidden)",#N/A,FALSE,"Income";"EPS (All Hidden)",#N/A,FALSE,"EPS";"EPS (All Hidden)",#N/A,FALSE,"CashFlow";"Quarterly (Last, Current and Next)",#N/A,FALSE,"Quarterly"}</definedName>
    <definedName name="t" hidden="1">{"MULTIPLICAÇÃO",#N/A,FALSE,"Obras"}</definedName>
    <definedName name="Target_Ke_High">[9]MASK!$Q$6</definedName>
    <definedName name="Target_Ke_Low">[9]MASK!$Q$5</definedName>
    <definedName name="te" hidden="1">{"MELHORAMENTO GENÉTICO",#N/A,FALSE,"Obras"}</definedName>
    <definedName name="tgh" hidden="1">{"'Directory'!$A$72:$E$91"}</definedName>
    <definedName name="tr" hidden="1">{"MELHORAMENTO GENÉTICO",#N/A,FALSE,"Obras"}</definedName>
    <definedName name="Tratorito" hidden="1">{"MATRIZES",#N/A,FALSE,"Obras"}</definedName>
    <definedName name="tratoritos" hidden="1">{"AVÓS",#N/A,FALSE,"Obras"}</definedName>
    <definedName name="ttt" hidden="1">{#N/A,#N/A,FALSE,"Earn'gs &amp; Val'n";#N/A,#N/A,FALSE,"Interim"}</definedName>
    <definedName name="ULMA" hidden="1">{"MULTIPLICAÇÃO",#N/A,FALSE,"Obras"}</definedName>
    <definedName name="ut" hidden="1">{"MATRIZES",#N/A,FALSE,"Obras"}</definedName>
    <definedName name="v" hidden="1">{"MATRIZES",#N/A,FALSE,"Obras"}</definedName>
    <definedName name="valderes" hidden="1">{"AVÓS",#N/A,FALSE,"Obras"}</definedName>
    <definedName name="valderez" hidden="1">{"MULTIPLICAÇÃO",#N/A,FALSE,"Obras"}</definedName>
    <definedName name="Valuation_Metric">[9]MASK!$C$672</definedName>
    <definedName name="ventiladores" hidden="1">{"MULTIPLICAÇÃO",#N/A,FALSE,"Obras"}</definedName>
    <definedName name="vilto" hidden="1">{"MATRIZES",#N/A,FALSE,"Obras"}</definedName>
    <definedName name="vinicius" hidden="1">{"'Total'!$A$1","'Total'!$A$3"}</definedName>
    <definedName name="wrn.Aging._.and._.Trend._.Analysis." hidden="1">{#N/A,#N/A,FALSE,"Aging Summary";#N/A,#N/A,FALSE,"Ratio Analysis";#N/A,#N/A,FALSE,"Test 120 Day Accts";#N/A,#N/A,FALSE,"Tickmarks"}</definedName>
    <definedName name="wrn.APOIO." hidden="1">{"APOIO",#N/A,FALSE,"Obras"}</definedName>
    <definedName name="wrn.AVÓS." hidden="1">{"AVÓS",#N/A,FALSE,"Obras"}</definedName>
    <definedName name="wrn.ba." hidden="1">{#N/A,#N/A,FALSE,"Summary";#N/A,#N/A,FALSE,"MDBA";#N/A,#N/A,FALSE,"Annual";#N/A,#N/A,FALSE,"Qrtly";#N/A,#N/A,FALSE,"Rates";#N/A,#N/A,FALSE,"CA Sales";#N/A,#N/A,FALSE,"CA SalesQtr";#N/A,#N/A,FALSE,"CA Profit";#N/A,#N/A,FALSE,"CA ProfitQtr";#N/A,#N/A,FALSE,"MD Military Aircraft";#N/A,#N/A,FALSE,"MD Space &amp; Finance";#N/A,#N/A,FALSE,"MD Commercial";#N/A,#N/A,FALSE,"MD Commercial";#N/A,#N/A,FALSE,"Space&amp;Mil.";#N/A,#N/A,FALSE,"Space&amp;DefQtr";#N/A,#N/A,FALSE,"Balance Sht";#N/A,#N/A,FALSE,"Balance Sht";#N/A,#N/A,FALSE,"BalanceShtQtr";#N/A,#N/A,FALSE,"Cash Flow Summary";#N/A,#N/A,FALSE,"Cashflow";#N/A,#N/A,FALSE,"CashflowQtr"}</definedName>
    <definedName name="wrn.balanco._.patrimonial." hidden="1">{#N/A,#N/A,FALSE,"base"}</definedName>
    <definedName name="wrn.Entire._.Model." hidden="1">{"Income Page",#N/A,FALSE,"Income";"Quarterly Page",#N/A,FALSE,"Quarterly";"EPS Page",#N/A,FALSE,"EPS";"Cashflow Page",#N/A,FALSE,"CashFlow"}</definedName>
    <definedName name="wrn.gd." hidden="1">{#N/A,#N/A,FALSE,"Summary";#N/A,#N/A,FALSE,"Annual";#N/A,#N/A,FALSE,"Quarterly";#N/A,#N/A,FALSE,"Land Systems";#N/A,#N/A,FALSE,"LandSystemsQtr";#N/A,#N/A,FALSE,"E.B.";#N/A,#N/A,FALSE,"EBqtr";#N/A,#N/A,FALSE,"Other";#N/A,#N/A,FALSE,"Other, Qtr.";#N/A,#N/A,FALSE,"Balance Sht.";#N/A,#N/A,FALSE,"BalShtQtr";#N/A,#N/A,FALSE,"Cashflow";#N/A,#N/A,FALSE,"CashflowQtr"}</definedName>
    <definedName name="wrn.JOGO_CONSOLIDADO." hidden="1">{#N/A,#N/A,TRUE,"Consolidado";#N/A,#N/A,TRUE,"Laticínios";#N/A,#N/A,TRUE,"Frangos";#N/A,#N/A,TRUE,"Suínos";#N/A,#N/A,TRUE,"Peru";#N/A,#N/A,TRUE,"Carnes";#N/A,#N/A,TRUE,"Suco";#N/A,#N/A,TRUE,"Batata"}</definedName>
    <definedName name="wrn.Level._.4.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MATRIZES." hidden="1">{"MATRIZES",#N/A,FALSE,"Obras"}</definedName>
    <definedName name="wrn.MELHORAMENTO._.GENÉTICO." hidden="1">{"MELHORAMENTO GENÉTICO",#N/A,FALSE,"Obras"}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ULTIPLICAÇÃO." hidden="1">{"MULTIPLICAÇÃO",#N/A,FALSE,"Obras"}</definedName>
    <definedName name="wrn.noc." hidden="1">{#N/A,#N/A,FALSE,"Summary";#N/A,#N/A,FALSE,"Annual I.S.";#N/A,#N/A,FALSE,"Qtr. I.S.";#N/A,#N/A,FALSE,"Aircraft";#N/A,#N/A,FALSE,"AircraftQtr";#N/A,#N/A,FALSE,"Electronics";#N/A,#N/A,FALSE,"ElectronicsQtr";#N/A,#N/A,FALSE,"OpMargin";#N/A,#N/A,FALSE,"OpMargin";#N/A,#N/A,FALSE,"Backlog &amp; Del.";#N/A,#N/A,FALSE,"B&amp;DQtr";#N/A,#N/A,FALSE,"Balance Sht";#N/A,#N/A,FALSE,"BalanceShtQtr";#N/A,#N/A,FALSE,"Cashflow"}</definedName>
    <definedName name="wrn.SPF." hidden="1">{"APOIO",#N/A,FALSE,"Obras"}</definedName>
    <definedName name="wrn.test1." hidden="1">{#N/A,#N/A,FALSE,"Earn'gs &amp; Val'n";#N/A,#N/A,FALSE,"Interim"}</definedName>
    <definedName name="xls" hidden="1">{"AVÓS",#N/A,FALSE,"Obras"}</definedName>
    <definedName name="xxxx" hidden="1">{"'Total'!$A$1","'Total'!$A$3"}</definedName>
    <definedName name="yhj" hidden="1">{"'Directory'!$A$72:$E$91"}</definedName>
    <definedName name="yr" hidden="1">{"MATRIZES",#N/A,FALSE,"Obras"}</definedName>
    <definedName name="yy" hidden="1">{"AVÓS",#N/A,FALSE,"Obras"}</definedName>
    <definedName name="z" hidden="1">{"APOIO",#N/A,FALSE,"Obras"}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T235" i="1" l="1"/>
  <c r="AS235" i="1"/>
  <c r="AR235" i="1"/>
  <c r="AQ235" i="1"/>
  <c r="AP235" i="1"/>
  <c r="AO235" i="1"/>
  <c r="AN235" i="1"/>
  <c r="AM235" i="1"/>
  <c r="AL235" i="1"/>
  <c r="AT234" i="1"/>
  <c r="AS234" i="1"/>
  <c r="AR234" i="1"/>
  <c r="AQ234" i="1"/>
  <c r="AP234" i="1"/>
  <c r="AO234" i="1"/>
  <c r="AN234" i="1"/>
  <c r="AM234" i="1"/>
  <c r="AL234" i="1"/>
  <c r="AJ234" i="1"/>
  <c r="AI234" i="1"/>
  <c r="AH234" i="1"/>
  <c r="AT225" i="1"/>
  <c r="AS225" i="1"/>
  <c r="AR225" i="1"/>
  <c r="AQ225" i="1"/>
  <c r="AP225" i="1"/>
  <c r="AO225" i="1"/>
  <c r="AN225" i="1"/>
  <c r="AM225" i="1"/>
  <c r="AL225" i="1"/>
  <c r="AT221" i="1"/>
  <c r="AS221" i="1"/>
  <c r="AR221" i="1"/>
  <c r="AQ221" i="1"/>
  <c r="AP221" i="1"/>
  <c r="AO221" i="1"/>
  <c r="AN221" i="1"/>
  <c r="AM221" i="1"/>
  <c r="AL221" i="1"/>
  <c r="AJ225" i="1"/>
  <c r="AI225" i="1"/>
  <c r="AH225" i="1"/>
  <c r="AH240" i="1"/>
  <c r="AJ221" i="1"/>
  <c r="AI221" i="1"/>
  <c r="AH221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AG240" i="1"/>
  <c r="AE240" i="1"/>
  <c r="AD240" i="1"/>
  <c r="AC240" i="1"/>
  <c r="AB240" i="1"/>
  <c r="Z240" i="1"/>
  <c r="Y240" i="1"/>
  <c r="X240" i="1"/>
  <c r="W240" i="1"/>
  <c r="U240" i="1"/>
  <c r="T240" i="1"/>
  <c r="S240" i="1"/>
  <c r="R240" i="1"/>
  <c r="O240" i="1"/>
  <c r="N240" i="1"/>
  <c r="M240" i="1"/>
  <c r="P240" i="1"/>
  <c r="K240" i="1"/>
  <c r="J237" i="1"/>
  <c r="I237" i="1"/>
  <c r="H237" i="1"/>
  <c r="AF240" i="1"/>
  <c r="AA240" i="1"/>
  <c r="V240" i="1"/>
  <c r="Q240" i="1"/>
  <c r="L240" i="1"/>
  <c r="J240" i="1"/>
  <c r="I240" i="1"/>
  <c r="H240" i="1"/>
  <c r="AG234" i="1"/>
  <c r="AB234" i="1"/>
  <c r="AC234" i="1"/>
  <c r="AD234" i="1"/>
  <c r="AE234" i="1"/>
  <c r="Z234" i="1"/>
  <c r="Y234" i="1"/>
  <c r="X234" i="1"/>
  <c r="W234" i="1"/>
  <c r="AF234" i="1"/>
  <c r="AA234" i="1"/>
  <c r="V234" i="1"/>
  <c r="Q234" i="1"/>
  <c r="L234" i="1"/>
  <c r="F234" i="1"/>
  <c r="U234" i="1"/>
  <c r="T234" i="1"/>
  <c r="S234" i="1"/>
  <c r="R234" i="1"/>
  <c r="O234" i="1"/>
  <c r="N234" i="1"/>
  <c r="M234" i="1"/>
  <c r="P234" i="1"/>
  <c r="K234" i="1"/>
  <c r="J234" i="1"/>
  <c r="I234" i="1"/>
  <c r="H234" i="1"/>
  <c r="E234" i="1"/>
  <c r="D234" i="1"/>
  <c r="F240" i="1"/>
  <c r="E240" i="1"/>
  <c r="D240" i="1"/>
  <c r="F237" i="1"/>
  <c r="E237" i="1"/>
  <c r="D237" i="1"/>
  <c r="D5" i="4"/>
  <c r="O13" i="4"/>
  <c r="G212" i="1"/>
  <c r="G211" i="1"/>
  <c r="G237" i="1" s="1"/>
  <c r="C210" i="1"/>
  <c r="AK506" i="1"/>
  <c r="AK320" i="1"/>
  <c r="F10" i="4"/>
  <c r="G10" i="4" s="1"/>
  <c r="H10" i="4" s="1"/>
  <c r="I10" i="4" s="1"/>
  <c r="J10" i="4" s="1"/>
  <c r="K10" i="4" s="1"/>
  <c r="L10" i="4" s="1"/>
  <c r="M10" i="4" s="1"/>
  <c r="N10" i="4" s="1"/>
  <c r="F12" i="4"/>
  <c r="G12" i="4" s="1"/>
  <c r="H12" i="4" s="1"/>
  <c r="I12" i="4" s="1"/>
  <c r="J12" i="4" s="1"/>
  <c r="K12" i="4" s="1"/>
  <c r="L12" i="4" s="1"/>
  <c r="M12" i="4" s="1"/>
  <c r="N12" i="4" s="1"/>
  <c r="O12" i="4" s="1"/>
  <c r="D6" i="4" a="1"/>
  <c r="E13" i="4"/>
  <c r="I6" i="4"/>
  <c r="AM382" i="1"/>
  <c r="AN382" i="1" s="1"/>
  <c r="AO382" i="1" s="1"/>
  <c r="AP382" i="1" s="1"/>
  <c r="AQ382" i="1" s="1"/>
  <c r="AR382" i="1" s="1"/>
  <c r="AS382" i="1" s="1"/>
  <c r="AT382" i="1" s="1"/>
  <c r="AM348" i="1"/>
  <c r="AN348" i="1" s="1"/>
  <c r="AO348" i="1" s="1"/>
  <c r="AP348" i="1" s="1"/>
  <c r="AQ348" i="1" s="1"/>
  <c r="AR348" i="1" s="1"/>
  <c r="AS348" i="1" s="1"/>
  <c r="AT348" i="1" s="1"/>
  <c r="AM339" i="1"/>
  <c r="AN339" i="1" s="1"/>
  <c r="AM326" i="1"/>
  <c r="AN326" i="1" s="1"/>
  <c r="AM331" i="1"/>
  <c r="AN331" i="1" s="1"/>
  <c r="AM179" i="1"/>
  <c r="AN179" i="1" s="1"/>
  <c r="AO179" i="1" s="1"/>
  <c r="AP179" i="1" s="1"/>
  <c r="AQ179" i="1" s="1"/>
  <c r="AR179" i="1" s="1"/>
  <c r="AS179" i="1" s="1"/>
  <c r="AT179" i="1" s="1"/>
  <c r="AH160" i="1"/>
  <c r="AM129" i="1"/>
  <c r="AN129" i="1" s="1"/>
  <c r="AM76" i="1"/>
  <c r="AM143" i="1"/>
  <c r="AM325" i="1"/>
  <c r="AM330" i="1"/>
  <c r="AG519" i="1"/>
  <c r="AE519" i="1"/>
  <c r="AD519" i="1"/>
  <c r="AC519" i="1"/>
  <c r="AB519" i="1"/>
  <c r="Z519" i="1"/>
  <c r="Y519" i="1"/>
  <c r="X519" i="1"/>
  <c r="W519" i="1"/>
  <c r="U519" i="1"/>
  <c r="T519" i="1"/>
  <c r="S519" i="1"/>
  <c r="R519" i="1"/>
  <c r="P519" i="1"/>
  <c r="O519" i="1"/>
  <c r="N519" i="1"/>
  <c r="M519" i="1"/>
  <c r="K519" i="1"/>
  <c r="J519" i="1"/>
  <c r="I519" i="1"/>
  <c r="H519" i="1"/>
  <c r="F519" i="1"/>
  <c r="E519" i="1"/>
  <c r="D519" i="1"/>
  <c r="C519" i="1"/>
  <c r="AG515" i="1"/>
  <c r="AE515" i="1"/>
  <c r="AD515" i="1"/>
  <c r="AC515" i="1"/>
  <c r="AB515" i="1"/>
  <c r="Z515" i="1"/>
  <c r="Y515" i="1"/>
  <c r="X515" i="1"/>
  <c r="W515" i="1"/>
  <c r="U515" i="1"/>
  <c r="T515" i="1"/>
  <c r="S515" i="1"/>
  <c r="R515" i="1"/>
  <c r="P515" i="1"/>
  <c r="O515" i="1"/>
  <c r="N515" i="1"/>
  <c r="M515" i="1"/>
  <c r="K515" i="1"/>
  <c r="J515" i="1"/>
  <c r="I515" i="1"/>
  <c r="H515" i="1"/>
  <c r="F515" i="1"/>
  <c r="E515" i="1"/>
  <c r="D515" i="1"/>
  <c r="AG514" i="1"/>
  <c r="AE514" i="1"/>
  <c r="AD514" i="1"/>
  <c r="AC514" i="1"/>
  <c r="AB514" i="1"/>
  <c r="Z514" i="1"/>
  <c r="Y514" i="1"/>
  <c r="X514" i="1"/>
  <c r="W514" i="1"/>
  <c r="U514" i="1"/>
  <c r="T514" i="1"/>
  <c r="S514" i="1"/>
  <c r="R514" i="1"/>
  <c r="P514" i="1"/>
  <c r="O514" i="1"/>
  <c r="N514" i="1"/>
  <c r="M514" i="1"/>
  <c r="K514" i="1"/>
  <c r="J514" i="1"/>
  <c r="I514" i="1"/>
  <c r="H514" i="1"/>
  <c r="F514" i="1"/>
  <c r="E514" i="1"/>
  <c r="D514" i="1"/>
  <c r="AK510" i="1"/>
  <c r="AF510" i="1"/>
  <c r="AA510" i="1"/>
  <c r="V510" i="1"/>
  <c r="Q510" i="1"/>
  <c r="L510" i="1"/>
  <c r="G510" i="1"/>
  <c r="AG509" i="1"/>
  <c r="AD509" i="1"/>
  <c r="AC509" i="1"/>
  <c r="AB509" i="1"/>
  <c r="Z509" i="1"/>
  <c r="Y509" i="1"/>
  <c r="X509" i="1"/>
  <c r="W509" i="1"/>
  <c r="U509" i="1"/>
  <c r="T509" i="1"/>
  <c r="S509" i="1"/>
  <c r="R509" i="1"/>
  <c r="P509" i="1"/>
  <c r="O509" i="1"/>
  <c r="N509" i="1"/>
  <c r="M509" i="1"/>
  <c r="K509" i="1"/>
  <c r="J509" i="1"/>
  <c r="I509" i="1"/>
  <c r="H509" i="1"/>
  <c r="F509" i="1"/>
  <c r="E509" i="1"/>
  <c r="D509" i="1"/>
  <c r="C509" i="1"/>
  <c r="C511" i="1" s="1"/>
  <c r="AK507" i="1"/>
  <c r="AE507" i="1"/>
  <c r="AF507" i="1" s="1"/>
  <c r="AA507" i="1"/>
  <c r="V507" i="1"/>
  <c r="Q507" i="1"/>
  <c r="L507" i="1"/>
  <c r="G507" i="1"/>
  <c r="AF506" i="1"/>
  <c r="AA506" i="1"/>
  <c r="V506" i="1"/>
  <c r="Q506" i="1"/>
  <c r="L506" i="1"/>
  <c r="G506" i="1"/>
  <c r="AK505" i="1"/>
  <c r="AE505" i="1"/>
  <c r="AF505" i="1" s="1"/>
  <c r="AA505" i="1"/>
  <c r="V505" i="1"/>
  <c r="Q505" i="1"/>
  <c r="L505" i="1"/>
  <c r="G505" i="1"/>
  <c r="AK504" i="1"/>
  <c r="AE504" i="1"/>
  <c r="AF504" i="1" s="1"/>
  <c r="AA504" i="1"/>
  <c r="V504" i="1"/>
  <c r="Q504" i="1"/>
  <c r="L504" i="1"/>
  <c r="G504" i="1"/>
  <c r="AK503" i="1"/>
  <c r="AE503" i="1"/>
  <c r="AF503" i="1" s="1"/>
  <c r="AA503" i="1"/>
  <c r="V503" i="1"/>
  <c r="Q503" i="1"/>
  <c r="L503" i="1"/>
  <c r="G503" i="1"/>
  <c r="AK502" i="1"/>
  <c r="AE502" i="1"/>
  <c r="AF502" i="1" s="1"/>
  <c r="AA502" i="1"/>
  <c r="V502" i="1"/>
  <c r="Q502" i="1"/>
  <c r="L502" i="1"/>
  <c r="G502" i="1"/>
  <c r="AK501" i="1"/>
  <c r="AE501" i="1"/>
  <c r="AF501" i="1" s="1"/>
  <c r="AA501" i="1"/>
  <c r="V501" i="1"/>
  <c r="Q501" i="1"/>
  <c r="L501" i="1"/>
  <c r="G501" i="1"/>
  <c r="AK500" i="1"/>
  <c r="AE500" i="1"/>
  <c r="AF500" i="1" s="1"/>
  <c r="AA500" i="1"/>
  <c r="V500" i="1"/>
  <c r="Q500" i="1"/>
  <c r="L500" i="1"/>
  <c r="G500" i="1"/>
  <c r="AK499" i="1"/>
  <c r="AK509" i="1" s="1"/>
  <c r="AE499" i="1"/>
  <c r="AA499" i="1"/>
  <c r="AA509" i="1" s="1"/>
  <c r="V499" i="1"/>
  <c r="V509" i="1" s="1"/>
  <c r="Q499" i="1"/>
  <c r="Q509" i="1" s="1"/>
  <c r="L499" i="1"/>
  <c r="L509" i="1" s="1"/>
  <c r="G499" i="1"/>
  <c r="G509" i="1" s="1"/>
  <c r="AK498" i="1"/>
  <c r="AE498" i="1"/>
  <c r="AF498" i="1" s="1"/>
  <c r="AA498" i="1"/>
  <c r="V498" i="1"/>
  <c r="Q498" i="1"/>
  <c r="L498" i="1"/>
  <c r="G498" i="1"/>
  <c r="AK497" i="1"/>
  <c r="AE497" i="1"/>
  <c r="AF497" i="1" s="1"/>
  <c r="AA497" i="1"/>
  <c r="V497" i="1"/>
  <c r="Q497" i="1"/>
  <c r="L497" i="1"/>
  <c r="G497" i="1"/>
  <c r="AK496" i="1"/>
  <c r="AE496" i="1"/>
  <c r="AF496" i="1" s="1"/>
  <c r="AA496" i="1"/>
  <c r="V496" i="1"/>
  <c r="Q496" i="1"/>
  <c r="L496" i="1"/>
  <c r="G496" i="1"/>
  <c r="AK493" i="1"/>
  <c r="AF493" i="1"/>
  <c r="AA493" i="1"/>
  <c r="V493" i="1"/>
  <c r="Q493" i="1"/>
  <c r="L493" i="1"/>
  <c r="G493" i="1"/>
  <c r="AK492" i="1"/>
  <c r="AK491" i="1" s="1"/>
  <c r="AF492" i="1"/>
  <c r="AA492" i="1"/>
  <c r="V492" i="1"/>
  <c r="Q492" i="1"/>
  <c r="L492" i="1"/>
  <c r="G492" i="1"/>
  <c r="AG491" i="1"/>
  <c r="AG489" i="1" s="1"/>
  <c r="AG495" i="1" s="1"/>
  <c r="AG522" i="1" s="1"/>
  <c r="AF491" i="1"/>
  <c r="AE491" i="1"/>
  <c r="AE489" i="1" s="1"/>
  <c r="AE495" i="1" s="1"/>
  <c r="AE522" i="1" s="1"/>
  <c r="AD491" i="1"/>
  <c r="AD489" i="1" s="1"/>
  <c r="AD495" i="1" s="1"/>
  <c r="AD522" i="1" s="1"/>
  <c r="AC491" i="1"/>
  <c r="AC489" i="1" s="1"/>
  <c r="AC495" i="1" s="1"/>
  <c r="AC522" i="1" s="1"/>
  <c r="AB491" i="1"/>
  <c r="AB489" i="1" s="1"/>
  <c r="AB495" i="1" s="1"/>
  <c r="AB522" i="1" s="1"/>
  <c r="Z491" i="1"/>
  <c r="Z489" i="1" s="1"/>
  <c r="Z495" i="1" s="1"/>
  <c r="Z522" i="1" s="1"/>
  <c r="Y491" i="1"/>
  <c r="Y489" i="1" s="1"/>
  <c r="Y495" i="1" s="1"/>
  <c r="Y522" i="1" s="1"/>
  <c r="X491" i="1"/>
  <c r="X489" i="1" s="1"/>
  <c r="X495" i="1" s="1"/>
  <c r="X522" i="1" s="1"/>
  <c r="W491" i="1"/>
  <c r="W489" i="1" s="1"/>
  <c r="W495" i="1" s="1"/>
  <c r="W522" i="1" s="1"/>
  <c r="V491" i="1"/>
  <c r="U491" i="1"/>
  <c r="U489" i="1" s="1"/>
  <c r="U495" i="1" s="1"/>
  <c r="U522" i="1" s="1"/>
  <c r="T491" i="1"/>
  <c r="T489" i="1" s="1"/>
  <c r="T495" i="1" s="1"/>
  <c r="T522" i="1" s="1"/>
  <c r="S491" i="1"/>
  <c r="S489" i="1" s="1"/>
  <c r="S495" i="1" s="1"/>
  <c r="S522" i="1" s="1"/>
  <c r="R491" i="1"/>
  <c r="R489" i="1" s="1"/>
  <c r="R495" i="1" s="1"/>
  <c r="R522" i="1" s="1"/>
  <c r="Q491" i="1"/>
  <c r="P491" i="1"/>
  <c r="P489" i="1" s="1"/>
  <c r="P495" i="1" s="1"/>
  <c r="P522" i="1" s="1"/>
  <c r="O491" i="1"/>
  <c r="O489" i="1" s="1"/>
  <c r="O495" i="1" s="1"/>
  <c r="O522" i="1" s="1"/>
  <c r="N491" i="1"/>
  <c r="N489" i="1" s="1"/>
  <c r="N495" i="1" s="1"/>
  <c r="N522" i="1" s="1"/>
  <c r="M491" i="1"/>
  <c r="M489" i="1" s="1"/>
  <c r="M495" i="1" s="1"/>
  <c r="M522" i="1" s="1"/>
  <c r="L491" i="1"/>
  <c r="K491" i="1"/>
  <c r="K489" i="1" s="1"/>
  <c r="K495" i="1" s="1"/>
  <c r="K522" i="1" s="1"/>
  <c r="J491" i="1"/>
  <c r="J489" i="1" s="1"/>
  <c r="J495" i="1" s="1"/>
  <c r="J522" i="1" s="1"/>
  <c r="I491" i="1"/>
  <c r="I489" i="1" s="1"/>
  <c r="I495" i="1" s="1"/>
  <c r="I522" i="1" s="1"/>
  <c r="H491" i="1"/>
  <c r="H489" i="1" s="1"/>
  <c r="H495" i="1" s="1"/>
  <c r="H522" i="1" s="1"/>
  <c r="G491" i="1"/>
  <c r="F491" i="1"/>
  <c r="F489" i="1" s="1"/>
  <c r="F495" i="1" s="1"/>
  <c r="F522" i="1" s="1"/>
  <c r="E491" i="1"/>
  <c r="E489" i="1" s="1"/>
  <c r="E495" i="1" s="1"/>
  <c r="E522" i="1" s="1"/>
  <c r="D491" i="1"/>
  <c r="D489" i="1" s="1"/>
  <c r="D495" i="1" s="1"/>
  <c r="D522" i="1" s="1"/>
  <c r="C491" i="1"/>
  <c r="AK490" i="1"/>
  <c r="AF490" i="1"/>
  <c r="AA490" i="1"/>
  <c r="AA519" i="1" s="1"/>
  <c r="V490" i="1"/>
  <c r="Q490" i="1"/>
  <c r="L490" i="1"/>
  <c r="G490" i="1"/>
  <c r="AJ489" i="1"/>
  <c r="AJ495" i="1" s="1"/>
  <c r="AI489" i="1"/>
  <c r="AI495" i="1" s="1"/>
  <c r="AH489" i="1"/>
  <c r="AH495" i="1" s="1"/>
  <c r="AG482" i="1"/>
  <c r="AE482" i="1"/>
  <c r="AD482" i="1"/>
  <c r="AC482" i="1"/>
  <c r="AB482" i="1"/>
  <c r="Z482" i="1"/>
  <c r="Y482" i="1"/>
  <c r="X482" i="1"/>
  <c r="W482" i="1"/>
  <c r="U482" i="1"/>
  <c r="T482" i="1"/>
  <c r="S482" i="1"/>
  <c r="R482" i="1"/>
  <c r="P482" i="1"/>
  <c r="O482" i="1"/>
  <c r="N482" i="1"/>
  <c r="M482" i="1"/>
  <c r="K482" i="1"/>
  <c r="J482" i="1"/>
  <c r="I482" i="1"/>
  <c r="H482" i="1"/>
  <c r="F482" i="1"/>
  <c r="E482" i="1"/>
  <c r="D482" i="1"/>
  <c r="C482" i="1"/>
  <c r="AG481" i="1"/>
  <c r="AE481" i="1"/>
  <c r="AD481" i="1"/>
  <c r="AC481" i="1"/>
  <c r="AB481" i="1"/>
  <c r="Z481" i="1"/>
  <c r="Y481" i="1"/>
  <c r="X481" i="1"/>
  <c r="W481" i="1"/>
  <c r="U481" i="1"/>
  <c r="T481" i="1"/>
  <c r="S481" i="1"/>
  <c r="R481" i="1"/>
  <c r="P481" i="1"/>
  <c r="O481" i="1"/>
  <c r="N481" i="1"/>
  <c r="M481" i="1"/>
  <c r="K481" i="1"/>
  <c r="J481" i="1"/>
  <c r="I481" i="1"/>
  <c r="H481" i="1"/>
  <c r="F481" i="1"/>
  <c r="E481" i="1"/>
  <c r="D481" i="1"/>
  <c r="C481" i="1"/>
  <c r="AK476" i="1"/>
  <c r="AF476" i="1"/>
  <c r="AA476" i="1"/>
  <c r="V476" i="1"/>
  <c r="Q476" i="1"/>
  <c r="L476" i="1"/>
  <c r="G476" i="1"/>
  <c r="AF475" i="1"/>
  <c r="AA475" i="1"/>
  <c r="V475" i="1"/>
  <c r="Q475" i="1"/>
  <c r="L475" i="1"/>
  <c r="G475" i="1"/>
  <c r="AH474" i="1"/>
  <c r="AF474" i="1"/>
  <c r="AF481" i="1" s="1"/>
  <c r="AA474" i="1"/>
  <c r="AA481" i="1" s="1"/>
  <c r="V474" i="1"/>
  <c r="V481" i="1" s="1"/>
  <c r="Q474" i="1"/>
  <c r="Q481" i="1" s="1"/>
  <c r="L474" i="1"/>
  <c r="L481" i="1" s="1"/>
  <c r="G474" i="1"/>
  <c r="G481" i="1" s="1"/>
  <c r="AF473" i="1"/>
  <c r="AF482" i="1" s="1"/>
  <c r="AA473" i="1"/>
  <c r="AA482" i="1" s="1"/>
  <c r="V473" i="1"/>
  <c r="V482" i="1" s="1"/>
  <c r="Q473" i="1"/>
  <c r="Q482" i="1" s="1"/>
  <c r="L473" i="1"/>
  <c r="L482" i="1" s="1"/>
  <c r="G473" i="1"/>
  <c r="G482" i="1" s="1"/>
  <c r="AK470" i="1"/>
  <c r="AF470" i="1"/>
  <c r="AA470" i="1"/>
  <c r="V470" i="1"/>
  <c r="Q470" i="1"/>
  <c r="L470" i="1"/>
  <c r="G470" i="1"/>
  <c r="AI462" i="1"/>
  <c r="AJ462" i="1" s="1"/>
  <c r="AG460" i="1"/>
  <c r="AE460" i="1"/>
  <c r="AD460" i="1"/>
  <c r="AC460" i="1"/>
  <c r="AB460" i="1"/>
  <c r="Z460" i="1"/>
  <c r="Y460" i="1"/>
  <c r="X460" i="1"/>
  <c r="W460" i="1"/>
  <c r="U460" i="1"/>
  <c r="T460" i="1"/>
  <c r="S460" i="1"/>
  <c r="R460" i="1"/>
  <c r="P460" i="1"/>
  <c r="O460" i="1"/>
  <c r="N460" i="1"/>
  <c r="M460" i="1"/>
  <c r="K460" i="1"/>
  <c r="J460" i="1"/>
  <c r="I460" i="1"/>
  <c r="H460" i="1"/>
  <c r="F460" i="1"/>
  <c r="E460" i="1"/>
  <c r="D460" i="1"/>
  <c r="C460" i="1"/>
  <c r="AG457" i="1"/>
  <c r="AE457" i="1"/>
  <c r="AE458" i="1" s="1"/>
  <c r="AD457" i="1"/>
  <c r="AD458" i="1" s="1"/>
  <c r="AC457" i="1"/>
  <c r="AC458" i="1" s="1"/>
  <c r="AB457" i="1"/>
  <c r="Z457" i="1"/>
  <c r="Z458" i="1" s="1"/>
  <c r="Y457" i="1"/>
  <c r="Y458" i="1" s="1"/>
  <c r="X457" i="1"/>
  <c r="X458" i="1" s="1"/>
  <c r="W457" i="1"/>
  <c r="U457" i="1"/>
  <c r="U458" i="1" s="1"/>
  <c r="T457" i="1"/>
  <c r="T458" i="1" s="1"/>
  <c r="S457" i="1"/>
  <c r="S458" i="1" s="1"/>
  <c r="R457" i="1"/>
  <c r="P457" i="1"/>
  <c r="P458" i="1" s="1"/>
  <c r="O457" i="1"/>
  <c r="O458" i="1" s="1"/>
  <c r="N457" i="1"/>
  <c r="N458" i="1" s="1"/>
  <c r="M457" i="1"/>
  <c r="K457" i="1"/>
  <c r="K458" i="1" s="1"/>
  <c r="J457" i="1"/>
  <c r="J458" i="1" s="1"/>
  <c r="I457" i="1"/>
  <c r="I458" i="1" s="1"/>
  <c r="H457" i="1"/>
  <c r="F457" i="1"/>
  <c r="F458" i="1" s="1"/>
  <c r="E457" i="1"/>
  <c r="E458" i="1" s="1"/>
  <c r="D457" i="1"/>
  <c r="D458" i="1" s="1"/>
  <c r="C457" i="1"/>
  <c r="AF455" i="1"/>
  <c r="AA455" i="1"/>
  <c r="V455" i="1"/>
  <c r="Q455" i="1"/>
  <c r="L455" i="1"/>
  <c r="G455" i="1"/>
  <c r="AF454" i="1"/>
  <c r="AA454" i="1"/>
  <c r="V454" i="1"/>
  <c r="Q454" i="1"/>
  <c r="L454" i="1"/>
  <c r="G454" i="1"/>
  <c r="AF453" i="1"/>
  <c r="AA453" i="1"/>
  <c r="V453" i="1"/>
  <c r="Q453" i="1"/>
  <c r="L453" i="1"/>
  <c r="G453" i="1"/>
  <c r="AF450" i="1"/>
  <c r="AF449" i="1"/>
  <c r="AF515" i="1" s="1"/>
  <c r="AA449" i="1"/>
  <c r="AA515" i="1" s="1"/>
  <c r="V449" i="1"/>
  <c r="V515" i="1" s="1"/>
  <c r="Q449" i="1"/>
  <c r="Q515" i="1" s="1"/>
  <c r="L449" i="1"/>
  <c r="L515" i="1" s="1"/>
  <c r="G449" i="1"/>
  <c r="G515" i="1" s="1"/>
  <c r="AF448" i="1"/>
  <c r="AA448" i="1"/>
  <c r="V448" i="1"/>
  <c r="Q448" i="1"/>
  <c r="L448" i="1"/>
  <c r="G448" i="1"/>
  <c r="AG447" i="1"/>
  <c r="AE447" i="1"/>
  <c r="AD447" i="1"/>
  <c r="AC447" i="1"/>
  <c r="AB447" i="1"/>
  <c r="Z447" i="1"/>
  <c r="Y447" i="1"/>
  <c r="X447" i="1"/>
  <c r="W447" i="1"/>
  <c r="U447" i="1"/>
  <c r="T447" i="1"/>
  <c r="S447" i="1"/>
  <c r="R447" i="1"/>
  <c r="P447" i="1"/>
  <c r="O447" i="1"/>
  <c r="N447" i="1"/>
  <c r="M447" i="1"/>
  <c r="K447" i="1"/>
  <c r="J447" i="1"/>
  <c r="I447" i="1"/>
  <c r="H447" i="1"/>
  <c r="F447" i="1"/>
  <c r="E447" i="1"/>
  <c r="D447" i="1"/>
  <c r="C447" i="1"/>
  <c r="C452" i="1" s="1"/>
  <c r="C465" i="1" s="1"/>
  <c r="AG438" i="1"/>
  <c r="AE438" i="1"/>
  <c r="AD438" i="1"/>
  <c r="AC438" i="1"/>
  <c r="AB438" i="1"/>
  <c r="Z438" i="1"/>
  <c r="Y438" i="1"/>
  <c r="X438" i="1"/>
  <c r="W438" i="1"/>
  <c r="U438" i="1"/>
  <c r="T438" i="1"/>
  <c r="S438" i="1"/>
  <c r="R438" i="1"/>
  <c r="P438" i="1"/>
  <c r="O438" i="1"/>
  <c r="N438" i="1"/>
  <c r="M438" i="1"/>
  <c r="K438" i="1"/>
  <c r="J438" i="1"/>
  <c r="I438" i="1"/>
  <c r="H438" i="1"/>
  <c r="F438" i="1"/>
  <c r="E438" i="1"/>
  <c r="D438" i="1"/>
  <c r="C438" i="1"/>
  <c r="AG435" i="1"/>
  <c r="AE435" i="1"/>
  <c r="AE436" i="1" s="1"/>
  <c r="AD435" i="1"/>
  <c r="AD436" i="1" s="1"/>
  <c r="AC435" i="1"/>
  <c r="AC436" i="1" s="1"/>
  <c r="AB435" i="1"/>
  <c r="Z435" i="1"/>
  <c r="Z436" i="1" s="1"/>
  <c r="Y435" i="1"/>
  <c r="Y436" i="1" s="1"/>
  <c r="X435" i="1"/>
  <c r="X436" i="1" s="1"/>
  <c r="W435" i="1"/>
  <c r="U435" i="1"/>
  <c r="U436" i="1" s="1"/>
  <c r="T435" i="1"/>
  <c r="T436" i="1" s="1"/>
  <c r="S435" i="1"/>
  <c r="S436" i="1" s="1"/>
  <c r="R435" i="1"/>
  <c r="P435" i="1"/>
  <c r="P436" i="1" s="1"/>
  <c r="O435" i="1"/>
  <c r="O436" i="1" s="1"/>
  <c r="N435" i="1"/>
  <c r="N436" i="1" s="1"/>
  <c r="M435" i="1"/>
  <c r="K435" i="1"/>
  <c r="K436" i="1" s="1"/>
  <c r="J435" i="1"/>
  <c r="J436" i="1" s="1"/>
  <c r="I435" i="1"/>
  <c r="I436" i="1" s="1"/>
  <c r="H435" i="1"/>
  <c r="F435" i="1"/>
  <c r="F436" i="1" s="1"/>
  <c r="E435" i="1"/>
  <c r="E436" i="1" s="1"/>
  <c r="D435" i="1"/>
  <c r="D436" i="1" s="1"/>
  <c r="C435" i="1"/>
  <c r="AF433" i="1"/>
  <c r="AA433" i="1"/>
  <c r="V433" i="1"/>
  <c r="Q433" i="1"/>
  <c r="L433" i="1"/>
  <c r="G433" i="1"/>
  <c r="AF432" i="1"/>
  <c r="AA432" i="1"/>
  <c r="V432" i="1"/>
  <c r="Q432" i="1"/>
  <c r="L432" i="1"/>
  <c r="G432" i="1"/>
  <c r="AF431" i="1"/>
  <c r="AA431" i="1"/>
  <c r="V431" i="1"/>
  <c r="Q431" i="1"/>
  <c r="L431" i="1"/>
  <c r="G431" i="1"/>
  <c r="AF430" i="1"/>
  <c r="AA430" i="1"/>
  <c r="V430" i="1"/>
  <c r="Q430" i="1"/>
  <c r="L430" i="1"/>
  <c r="G430" i="1"/>
  <c r="AF429" i="1"/>
  <c r="AA429" i="1"/>
  <c r="V429" i="1"/>
  <c r="Q429" i="1"/>
  <c r="L429" i="1"/>
  <c r="G429" i="1"/>
  <c r="AF428" i="1"/>
  <c r="AA428" i="1"/>
  <c r="V428" i="1"/>
  <c r="Q428" i="1"/>
  <c r="L428" i="1"/>
  <c r="G428" i="1"/>
  <c r="AF427" i="1"/>
  <c r="AA427" i="1"/>
  <c r="V427" i="1"/>
  <c r="Q427" i="1"/>
  <c r="L427" i="1"/>
  <c r="G427" i="1"/>
  <c r="AF424" i="1"/>
  <c r="AF514" i="1" s="1"/>
  <c r="AA424" i="1"/>
  <c r="AA514" i="1" s="1"/>
  <c r="V424" i="1"/>
  <c r="V514" i="1" s="1"/>
  <c r="Q424" i="1"/>
  <c r="Q514" i="1" s="1"/>
  <c r="L424" i="1"/>
  <c r="L514" i="1" s="1"/>
  <c r="G424" i="1"/>
  <c r="G514" i="1" s="1"/>
  <c r="AK423" i="1"/>
  <c r="AF423" i="1"/>
  <c r="AA423" i="1"/>
  <c r="V423" i="1"/>
  <c r="Q423" i="1"/>
  <c r="L423" i="1"/>
  <c r="G423" i="1"/>
  <c r="AF422" i="1"/>
  <c r="AA422" i="1"/>
  <c r="V422" i="1"/>
  <c r="Q422" i="1"/>
  <c r="L422" i="1"/>
  <c r="G422" i="1"/>
  <c r="AG421" i="1"/>
  <c r="AE421" i="1"/>
  <c r="AD421" i="1"/>
  <c r="AC421" i="1"/>
  <c r="AB421" i="1"/>
  <c r="Z421" i="1"/>
  <c r="Y421" i="1"/>
  <c r="X421" i="1"/>
  <c r="W421" i="1"/>
  <c r="U421" i="1"/>
  <c r="T421" i="1"/>
  <c r="S421" i="1"/>
  <c r="R421" i="1"/>
  <c r="P421" i="1"/>
  <c r="O421" i="1"/>
  <c r="N421" i="1"/>
  <c r="M421" i="1"/>
  <c r="K421" i="1"/>
  <c r="J421" i="1"/>
  <c r="I421" i="1"/>
  <c r="H421" i="1"/>
  <c r="F421" i="1"/>
  <c r="E421" i="1"/>
  <c r="D421" i="1"/>
  <c r="C421" i="1"/>
  <c r="C426" i="1" s="1"/>
  <c r="C443" i="1" s="1"/>
  <c r="AI392" i="1"/>
  <c r="AJ392" i="1" s="1"/>
  <c r="AG391" i="1"/>
  <c r="AG96" i="1" s="1"/>
  <c r="AE391" i="1"/>
  <c r="AE96" i="1" s="1"/>
  <c r="AD391" i="1"/>
  <c r="AD96" i="1" s="1"/>
  <c r="AC391" i="1"/>
  <c r="AC96" i="1" s="1"/>
  <c r="AB391" i="1"/>
  <c r="AB96" i="1" s="1"/>
  <c r="Z391" i="1"/>
  <c r="Z96" i="1" s="1"/>
  <c r="Y391" i="1"/>
  <c r="Y96" i="1" s="1"/>
  <c r="X391" i="1"/>
  <c r="X96" i="1" s="1"/>
  <c r="W391" i="1"/>
  <c r="W96" i="1" s="1"/>
  <c r="AA96" i="1" s="1"/>
  <c r="U391" i="1"/>
  <c r="U96" i="1" s="1"/>
  <c r="T391" i="1"/>
  <c r="T96" i="1" s="1"/>
  <c r="S391" i="1"/>
  <c r="S96" i="1" s="1"/>
  <c r="R391" i="1"/>
  <c r="R96" i="1" s="1"/>
  <c r="V96" i="1" s="1"/>
  <c r="P391" i="1"/>
  <c r="P96" i="1" s="1"/>
  <c r="O391" i="1"/>
  <c r="O96" i="1" s="1"/>
  <c r="N391" i="1"/>
  <c r="N96" i="1" s="1"/>
  <c r="M391" i="1"/>
  <c r="M96" i="1" s="1"/>
  <c r="Q96" i="1" s="1"/>
  <c r="K391" i="1"/>
  <c r="K96" i="1" s="1"/>
  <c r="J391" i="1"/>
  <c r="J96" i="1" s="1"/>
  <c r="I391" i="1"/>
  <c r="I96" i="1" s="1"/>
  <c r="H391" i="1"/>
  <c r="H96" i="1" s="1"/>
  <c r="L96" i="1" s="1"/>
  <c r="F391" i="1"/>
  <c r="F96" i="1" s="1"/>
  <c r="E391" i="1"/>
  <c r="E96" i="1" s="1"/>
  <c r="D391" i="1"/>
  <c r="D96" i="1" s="1"/>
  <c r="G96" i="1" s="1"/>
  <c r="C391" i="1"/>
  <c r="AG387" i="1"/>
  <c r="AE387" i="1"/>
  <c r="AD387" i="1"/>
  <c r="AC387" i="1"/>
  <c r="AB387" i="1"/>
  <c r="Z387" i="1"/>
  <c r="Y387" i="1"/>
  <c r="X387" i="1"/>
  <c r="W387" i="1"/>
  <c r="U387" i="1"/>
  <c r="T387" i="1"/>
  <c r="S387" i="1"/>
  <c r="R387" i="1"/>
  <c r="P387" i="1"/>
  <c r="O387" i="1"/>
  <c r="N387" i="1"/>
  <c r="M387" i="1"/>
  <c r="K387" i="1"/>
  <c r="J387" i="1"/>
  <c r="I387" i="1"/>
  <c r="H387" i="1"/>
  <c r="F387" i="1"/>
  <c r="E387" i="1"/>
  <c r="D387" i="1"/>
  <c r="AE382" i="1"/>
  <c r="AD382" i="1" s="1"/>
  <c r="AE381" i="1"/>
  <c r="AJ382" i="1" s="1"/>
  <c r="AH380" i="1"/>
  <c r="AH377" i="1" s="1"/>
  <c r="AG372" i="1"/>
  <c r="AE372" i="1"/>
  <c r="AD372" i="1"/>
  <c r="AC372" i="1"/>
  <c r="AB372" i="1"/>
  <c r="AF372" i="1" s="1"/>
  <c r="Z372" i="1"/>
  <c r="Y372" i="1"/>
  <c r="X372" i="1"/>
  <c r="W372" i="1"/>
  <c r="AA372" i="1" s="1"/>
  <c r="U372" i="1"/>
  <c r="T372" i="1"/>
  <c r="S372" i="1"/>
  <c r="R372" i="1"/>
  <c r="V372" i="1" s="1"/>
  <c r="P372" i="1"/>
  <c r="O372" i="1"/>
  <c r="N372" i="1"/>
  <c r="M372" i="1"/>
  <c r="Q372" i="1" s="1"/>
  <c r="K372" i="1"/>
  <c r="J372" i="1"/>
  <c r="I372" i="1"/>
  <c r="H372" i="1"/>
  <c r="L372" i="1" s="1"/>
  <c r="F372" i="1"/>
  <c r="E372" i="1"/>
  <c r="D372" i="1"/>
  <c r="C372" i="1"/>
  <c r="G372" i="1" s="1"/>
  <c r="AG371" i="1"/>
  <c r="AE371" i="1"/>
  <c r="AE374" i="1" s="1"/>
  <c r="AD371" i="1"/>
  <c r="AD374" i="1" s="1"/>
  <c r="AC371" i="1"/>
  <c r="AC374" i="1" s="1"/>
  <c r="AB371" i="1"/>
  <c r="Z371" i="1"/>
  <c r="Z374" i="1" s="1"/>
  <c r="Y371" i="1"/>
  <c r="Y374" i="1" s="1"/>
  <c r="X371" i="1"/>
  <c r="X374" i="1" s="1"/>
  <c r="W371" i="1"/>
  <c r="U371" i="1"/>
  <c r="U374" i="1" s="1"/>
  <c r="T371" i="1"/>
  <c r="T374" i="1" s="1"/>
  <c r="S371" i="1"/>
  <c r="S374" i="1" s="1"/>
  <c r="R371" i="1"/>
  <c r="P371" i="1"/>
  <c r="P374" i="1" s="1"/>
  <c r="O371" i="1"/>
  <c r="O374" i="1" s="1"/>
  <c r="N371" i="1"/>
  <c r="N374" i="1" s="1"/>
  <c r="M371" i="1"/>
  <c r="K371" i="1"/>
  <c r="K374" i="1" s="1"/>
  <c r="J371" i="1"/>
  <c r="J374" i="1" s="1"/>
  <c r="I371" i="1"/>
  <c r="I374" i="1" s="1"/>
  <c r="H371" i="1"/>
  <c r="F371" i="1"/>
  <c r="F374" i="1" s="1"/>
  <c r="E371" i="1"/>
  <c r="E374" i="1" s="1"/>
  <c r="D371" i="1"/>
  <c r="D374" i="1" s="1"/>
  <c r="C371" i="1"/>
  <c r="AG368" i="1"/>
  <c r="AE368" i="1"/>
  <c r="AD368" i="1"/>
  <c r="AC368" i="1"/>
  <c r="AB368" i="1"/>
  <c r="Z368" i="1"/>
  <c r="Y368" i="1"/>
  <c r="X368" i="1"/>
  <c r="W368" i="1"/>
  <c r="U368" i="1"/>
  <c r="T368" i="1"/>
  <c r="S368" i="1"/>
  <c r="R368" i="1"/>
  <c r="P368" i="1"/>
  <c r="O368" i="1"/>
  <c r="N368" i="1"/>
  <c r="M368" i="1"/>
  <c r="K368" i="1"/>
  <c r="J368" i="1"/>
  <c r="I368" i="1"/>
  <c r="H368" i="1"/>
  <c r="F368" i="1"/>
  <c r="E368" i="1"/>
  <c r="D368" i="1"/>
  <c r="C368" i="1"/>
  <c r="AG363" i="1"/>
  <c r="AE363" i="1"/>
  <c r="AD363" i="1"/>
  <c r="AC363" i="1"/>
  <c r="AB363" i="1"/>
  <c r="Z363" i="1"/>
  <c r="Y363" i="1"/>
  <c r="X363" i="1"/>
  <c r="W363" i="1"/>
  <c r="U363" i="1"/>
  <c r="T363" i="1"/>
  <c r="S363" i="1"/>
  <c r="R363" i="1"/>
  <c r="P363" i="1"/>
  <c r="O363" i="1"/>
  <c r="N363" i="1"/>
  <c r="M363" i="1"/>
  <c r="K363" i="1"/>
  <c r="J363" i="1"/>
  <c r="I363" i="1"/>
  <c r="H363" i="1"/>
  <c r="F363" i="1"/>
  <c r="E363" i="1"/>
  <c r="D363" i="1"/>
  <c r="C363" i="1"/>
  <c r="AG360" i="1"/>
  <c r="AE360" i="1"/>
  <c r="AF360" i="1" s="1"/>
  <c r="AD360" i="1"/>
  <c r="AC360" i="1"/>
  <c r="AB360" i="1"/>
  <c r="Z360" i="1"/>
  <c r="AA360" i="1" s="1"/>
  <c r="Y360" i="1"/>
  <c r="X360" i="1"/>
  <c r="W360" i="1"/>
  <c r="U360" i="1"/>
  <c r="T360" i="1"/>
  <c r="U334" i="1" s="1"/>
  <c r="S360" i="1"/>
  <c r="T334" i="1" s="1"/>
  <c r="R360" i="1"/>
  <c r="S334" i="1" s="1"/>
  <c r="P360" i="1"/>
  <c r="O360" i="1"/>
  <c r="P334" i="1" s="1"/>
  <c r="N360" i="1"/>
  <c r="O334" i="1" s="1"/>
  <c r="M360" i="1"/>
  <c r="N334" i="1" s="1"/>
  <c r="K360" i="1"/>
  <c r="J360" i="1"/>
  <c r="K334" i="1" s="1"/>
  <c r="I360" i="1"/>
  <c r="J334" i="1" s="1"/>
  <c r="H360" i="1"/>
  <c r="I334" i="1" s="1"/>
  <c r="F360" i="1"/>
  <c r="E360" i="1"/>
  <c r="F334" i="1" s="1"/>
  <c r="D360" i="1"/>
  <c r="E334" i="1" s="1"/>
  <c r="C360" i="1"/>
  <c r="D334" i="1" s="1"/>
  <c r="AF358" i="1"/>
  <c r="AA358" i="1"/>
  <c r="V358" i="1"/>
  <c r="Q358" i="1"/>
  <c r="L358" i="1"/>
  <c r="G358" i="1"/>
  <c r="AG351" i="1"/>
  <c r="AE351" i="1"/>
  <c r="AD351" i="1"/>
  <c r="AC351" i="1"/>
  <c r="AB351" i="1"/>
  <c r="Z351" i="1"/>
  <c r="Y351" i="1"/>
  <c r="X351" i="1"/>
  <c r="W351" i="1"/>
  <c r="U351" i="1"/>
  <c r="T351" i="1"/>
  <c r="S351" i="1"/>
  <c r="R351" i="1"/>
  <c r="P351" i="1"/>
  <c r="O351" i="1"/>
  <c r="N351" i="1"/>
  <c r="M351" i="1"/>
  <c r="K351" i="1"/>
  <c r="J351" i="1"/>
  <c r="I351" i="1"/>
  <c r="H351" i="1"/>
  <c r="L351" i="1" s="1"/>
  <c r="F351" i="1"/>
  <c r="E351" i="1"/>
  <c r="D351" i="1"/>
  <c r="G351" i="1" s="1"/>
  <c r="G516" i="1" s="1"/>
  <c r="AJ348" i="1"/>
  <c r="AG346" i="1"/>
  <c r="AE346" i="1"/>
  <c r="AD346" i="1"/>
  <c r="AC346" i="1"/>
  <c r="AB346" i="1"/>
  <c r="Z346" i="1"/>
  <c r="Y346" i="1"/>
  <c r="X346" i="1"/>
  <c r="W346" i="1"/>
  <c r="U346" i="1"/>
  <c r="T346" i="1"/>
  <c r="S346" i="1"/>
  <c r="R346" i="1"/>
  <c r="P346" i="1"/>
  <c r="O346" i="1"/>
  <c r="N346" i="1"/>
  <c r="M346" i="1"/>
  <c r="K346" i="1"/>
  <c r="J346" i="1"/>
  <c r="I346" i="1"/>
  <c r="H346" i="1"/>
  <c r="F346" i="1"/>
  <c r="E346" i="1"/>
  <c r="D346" i="1"/>
  <c r="C346" i="1"/>
  <c r="AG342" i="1"/>
  <c r="AB342" i="1"/>
  <c r="W342" i="1"/>
  <c r="U342" i="1"/>
  <c r="T342" i="1"/>
  <c r="S342" i="1"/>
  <c r="R342" i="1"/>
  <c r="P342" i="1"/>
  <c r="O342" i="1"/>
  <c r="N342" i="1"/>
  <c r="M342" i="1"/>
  <c r="K342" i="1"/>
  <c r="J342" i="1"/>
  <c r="I342" i="1"/>
  <c r="H342" i="1"/>
  <c r="F342" i="1"/>
  <c r="E342" i="1"/>
  <c r="D342" i="1"/>
  <c r="C342" i="1"/>
  <c r="AG341" i="1"/>
  <c r="AB341" i="1"/>
  <c r="W341" i="1"/>
  <c r="U341" i="1"/>
  <c r="T341" i="1"/>
  <c r="S341" i="1"/>
  <c r="R341" i="1"/>
  <c r="P341" i="1"/>
  <c r="O341" i="1"/>
  <c r="N341" i="1"/>
  <c r="M341" i="1"/>
  <c r="K341" i="1"/>
  <c r="J341" i="1"/>
  <c r="I341" i="1"/>
  <c r="H341" i="1"/>
  <c r="F341" i="1"/>
  <c r="E341" i="1"/>
  <c r="D341" i="1"/>
  <c r="C341" i="1"/>
  <c r="AI339" i="1"/>
  <c r="AJ339" i="1" s="1"/>
  <c r="AK334" i="1"/>
  <c r="AH334" i="1"/>
  <c r="AG334" i="1"/>
  <c r="AF334" i="1"/>
  <c r="AE334" i="1"/>
  <c r="AD334" i="1"/>
  <c r="AC334" i="1"/>
  <c r="AB334" i="1"/>
  <c r="AA334" i="1"/>
  <c r="Z334" i="1"/>
  <c r="Y334" i="1"/>
  <c r="X334" i="1"/>
  <c r="AG333" i="1"/>
  <c r="AG364" i="1" s="1"/>
  <c r="AB333" i="1"/>
  <c r="AB364" i="1" s="1"/>
  <c r="W333" i="1"/>
  <c r="W364" i="1" s="1"/>
  <c r="U333" i="1"/>
  <c r="U364" i="1" s="1"/>
  <c r="T333" i="1"/>
  <c r="T364" i="1" s="1"/>
  <c r="S333" i="1"/>
  <c r="S364" i="1" s="1"/>
  <c r="R333" i="1"/>
  <c r="P333" i="1"/>
  <c r="P364" i="1" s="1"/>
  <c r="O333" i="1"/>
  <c r="O364" i="1" s="1"/>
  <c r="N333" i="1"/>
  <c r="N364" i="1" s="1"/>
  <c r="M333" i="1"/>
  <c r="K333" i="1"/>
  <c r="K364" i="1" s="1"/>
  <c r="J333" i="1"/>
  <c r="J364" i="1" s="1"/>
  <c r="I333" i="1"/>
  <c r="I364" i="1" s="1"/>
  <c r="H333" i="1"/>
  <c r="F333" i="1"/>
  <c r="F364" i="1" s="1"/>
  <c r="E333" i="1"/>
  <c r="E364" i="1" s="1"/>
  <c r="D333" i="1"/>
  <c r="D364" i="1" s="1"/>
  <c r="C333" i="1"/>
  <c r="AI331" i="1"/>
  <c r="AJ331" i="1" s="1"/>
  <c r="AJ330" i="1" s="1"/>
  <c r="AL330" i="1"/>
  <c r="AI330" i="1"/>
  <c r="AH330" i="1"/>
  <c r="AG328" i="1"/>
  <c r="AE328" i="1"/>
  <c r="AD328" i="1"/>
  <c r="AC328" i="1"/>
  <c r="AB328" i="1"/>
  <c r="Z328" i="1"/>
  <c r="Y328" i="1"/>
  <c r="X328" i="1"/>
  <c r="W328" i="1"/>
  <c r="U328" i="1"/>
  <c r="T328" i="1"/>
  <c r="S328" i="1"/>
  <c r="R328" i="1"/>
  <c r="P328" i="1"/>
  <c r="O328" i="1"/>
  <c r="N328" i="1"/>
  <c r="M328" i="1"/>
  <c r="K328" i="1"/>
  <c r="J328" i="1"/>
  <c r="I328" i="1"/>
  <c r="H328" i="1"/>
  <c r="F328" i="1"/>
  <c r="E328" i="1"/>
  <c r="D328" i="1"/>
  <c r="C328" i="1"/>
  <c r="G328" i="1" s="1"/>
  <c r="AI326" i="1"/>
  <c r="AJ326" i="1" s="1"/>
  <c r="AJ325" i="1" s="1"/>
  <c r="AL325" i="1"/>
  <c r="AI325" i="1"/>
  <c r="AH325" i="1"/>
  <c r="AG323" i="1"/>
  <c r="AG338" i="1" s="1"/>
  <c r="AG339" i="1" s="1"/>
  <c r="AB323" i="1"/>
  <c r="AB338" i="1" s="1"/>
  <c r="AB339" i="1" s="1"/>
  <c r="W323" i="1"/>
  <c r="W338" i="1" s="1"/>
  <c r="W339" i="1" s="1"/>
  <c r="U323" i="1"/>
  <c r="U338" i="1" s="1"/>
  <c r="U339" i="1" s="1"/>
  <c r="T323" i="1"/>
  <c r="T338" i="1" s="1"/>
  <c r="T339" i="1" s="1"/>
  <c r="S323" i="1"/>
  <c r="S338" i="1" s="1"/>
  <c r="S339" i="1" s="1"/>
  <c r="R323" i="1"/>
  <c r="R338" i="1" s="1"/>
  <c r="R339" i="1" s="1"/>
  <c r="P323" i="1"/>
  <c r="P338" i="1" s="1"/>
  <c r="P339" i="1" s="1"/>
  <c r="O323" i="1"/>
  <c r="O338" i="1" s="1"/>
  <c r="O339" i="1" s="1"/>
  <c r="N323" i="1"/>
  <c r="N338" i="1" s="1"/>
  <c r="N339" i="1" s="1"/>
  <c r="M323" i="1"/>
  <c r="M338" i="1" s="1"/>
  <c r="M339" i="1" s="1"/>
  <c r="K323" i="1"/>
  <c r="K338" i="1" s="1"/>
  <c r="K339" i="1" s="1"/>
  <c r="J323" i="1"/>
  <c r="J338" i="1" s="1"/>
  <c r="J339" i="1" s="1"/>
  <c r="I323" i="1"/>
  <c r="I338" i="1" s="1"/>
  <c r="I339" i="1" s="1"/>
  <c r="H323" i="1"/>
  <c r="H338" i="1" s="1"/>
  <c r="H339" i="1" s="1"/>
  <c r="F323" i="1"/>
  <c r="F338" i="1" s="1"/>
  <c r="F339" i="1" s="1"/>
  <c r="E323" i="1"/>
  <c r="E338" i="1" s="1"/>
  <c r="E339" i="1" s="1"/>
  <c r="D323" i="1"/>
  <c r="D338" i="1" s="1"/>
  <c r="D339" i="1" s="1"/>
  <c r="C323" i="1"/>
  <c r="AK321" i="1"/>
  <c r="AC321" i="1"/>
  <c r="X321" i="1"/>
  <c r="V321" i="1"/>
  <c r="Q321" i="1"/>
  <c r="L321" i="1"/>
  <c r="G321" i="1"/>
  <c r="AC320" i="1"/>
  <c r="X320" i="1"/>
  <c r="V320" i="1"/>
  <c r="Q320" i="1"/>
  <c r="L320" i="1"/>
  <c r="G320" i="1"/>
  <c r="AC319" i="1"/>
  <c r="X319" i="1"/>
  <c r="V319" i="1"/>
  <c r="Q319" i="1"/>
  <c r="L319" i="1"/>
  <c r="G319" i="1"/>
  <c r="AC318" i="1"/>
  <c r="X318" i="1"/>
  <c r="V318" i="1"/>
  <c r="Q318" i="1"/>
  <c r="L318" i="1"/>
  <c r="G318" i="1"/>
  <c r="AF317" i="1"/>
  <c r="AA317" i="1"/>
  <c r="V317" i="1"/>
  <c r="Q317" i="1"/>
  <c r="L317" i="1"/>
  <c r="G317" i="1"/>
  <c r="AF316" i="1"/>
  <c r="AA316" i="1"/>
  <c r="V316" i="1"/>
  <c r="Q316" i="1"/>
  <c r="L316" i="1"/>
  <c r="G316" i="1"/>
  <c r="AK314" i="1"/>
  <c r="AC314" i="1"/>
  <c r="X314" i="1"/>
  <c r="V314" i="1"/>
  <c r="Q314" i="1"/>
  <c r="L314" i="1"/>
  <c r="G314" i="1"/>
  <c r="AK313" i="1"/>
  <c r="AC313" i="1"/>
  <c r="X313" i="1"/>
  <c r="V313" i="1"/>
  <c r="Q313" i="1"/>
  <c r="L313" i="1"/>
  <c r="G313" i="1"/>
  <c r="AK312" i="1"/>
  <c r="AC312" i="1"/>
  <c r="X312" i="1"/>
  <c r="V312" i="1"/>
  <c r="Q312" i="1"/>
  <c r="L312" i="1"/>
  <c r="G312" i="1"/>
  <c r="AC311" i="1"/>
  <c r="X311" i="1"/>
  <c r="V311" i="1"/>
  <c r="Q311" i="1"/>
  <c r="L311" i="1"/>
  <c r="G311" i="1"/>
  <c r="AF310" i="1"/>
  <c r="AA310" i="1"/>
  <c r="V310" i="1"/>
  <c r="V341" i="1" s="1"/>
  <c r="Q310" i="1"/>
  <c r="Q341" i="1" s="1"/>
  <c r="L310" i="1"/>
  <c r="L341" i="1" s="1"/>
  <c r="G310" i="1"/>
  <c r="G341" i="1" s="1"/>
  <c r="AF308" i="1"/>
  <c r="AA308" i="1"/>
  <c r="V308" i="1"/>
  <c r="Q308" i="1"/>
  <c r="L308" i="1"/>
  <c r="G308" i="1"/>
  <c r="AG303" i="1"/>
  <c r="AG304" i="1" s="1"/>
  <c r="AE303" i="1"/>
  <c r="AD303" i="1"/>
  <c r="AD304" i="1" s="1"/>
  <c r="AI304" i="1" s="1"/>
  <c r="AC303" i="1"/>
  <c r="AC304" i="1" s="1"/>
  <c r="AH304" i="1" s="1"/>
  <c r="AB303" i="1"/>
  <c r="AB304" i="1" s="1"/>
  <c r="Z303" i="1"/>
  <c r="Y303" i="1"/>
  <c r="Y304" i="1" s="1"/>
  <c r="X303" i="1"/>
  <c r="X304" i="1" s="1"/>
  <c r="W303" i="1"/>
  <c r="W304" i="1" s="1"/>
  <c r="U303" i="1"/>
  <c r="T303" i="1"/>
  <c r="T304" i="1" s="1"/>
  <c r="S303" i="1"/>
  <c r="S304" i="1" s="1"/>
  <c r="R303" i="1"/>
  <c r="R304" i="1" s="1"/>
  <c r="P303" i="1"/>
  <c r="O303" i="1"/>
  <c r="O304" i="1" s="1"/>
  <c r="N303" i="1"/>
  <c r="N304" i="1" s="1"/>
  <c r="M303" i="1"/>
  <c r="M304" i="1" s="1"/>
  <c r="K303" i="1"/>
  <c r="J303" i="1"/>
  <c r="J304" i="1" s="1"/>
  <c r="I303" i="1"/>
  <c r="I304" i="1" s="1"/>
  <c r="H303" i="1"/>
  <c r="H304" i="1" s="1"/>
  <c r="F303" i="1"/>
  <c r="E303" i="1"/>
  <c r="D303" i="1"/>
  <c r="C303" i="1"/>
  <c r="AG300" i="1"/>
  <c r="AG301" i="1" s="1"/>
  <c r="AE300" i="1"/>
  <c r="AD300" i="1"/>
  <c r="AD301" i="1" s="1"/>
  <c r="AI301" i="1" s="1"/>
  <c r="AC300" i="1"/>
  <c r="AC301" i="1" s="1"/>
  <c r="AH301" i="1" s="1"/>
  <c r="AB300" i="1"/>
  <c r="AB301" i="1" s="1"/>
  <c r="Z300" i="1"/>
  <c r="Y300" i="1"/>
  <c r="Y301" i="1" s="1"/>
  <c r="X300" i="1"/>
  <c r="X301" i="1" s="1"/>
  <c r="W300" i="1"/>
  <c r="W301" i="1" s="1"/>
  <c r="U300" i="1"/>
  <c r="T300" i="1"/>
  <c r="T301" i="1" s="1"/>
  <c r="S300" i="1"/>
  <c r="S301" i="1" s="1"/>
  <c r="R300" i="1"/>
  <c r="R301" i="1" s="1"/>
  <c r="P300" i="1"/>
  <c r="O300" i="1"/>
  <c r="O301" i="1" s="1"/>
  <c r="N300" i="1"/>
  <c r="N301" i="1" s="1"/>
  <c r="M300" i="1"/>
  <c r="M301" i="1" s="1"/>
  <c r="K300" i="1"/>
  <c r="J300" i="1"/>
  <c r="J301" i="1" s="1"/>
  <c r="I300" i="1"/>
  <c r="I301" i="1" s="1"/>
  <c r="H300" i="1"/>
  <c r="H301" i="1" s="1"/>
  <c r="F300" i="1"/>
  <c r="E300" i="1"/>
  <c r="D300" i="1"/>
  <c r="C300" i="1"/>
  <c r="AG297" i="1"/>
  <c r="AG298" i="1" s="1"/>
  <c r="AE297" i="1"/>
  <c r="AD297" i="1"/>
  <c r="AD298" i="1" s="1"/>
  <c r="AI298" i="1" s="1"/>
  <c r="AC297" i="1"/>
  <c r="AC298" i="1" s="1"/>
  <c r="AH298" i="1" s="1"/>
  <c r="AB297" i="1"/>
  <c r="AB298" i="1" s="1"/>
  <c r="Z297" i="1"/>
  <c r="Y297" i="1"/>
  <c r="Y298" i="1" s="1"/>
  <c r="X297" i="1"/>
  <c r="X298" i="1" s="1"/>
  <c r="W297" i="1"/>
  <c r="W298" i="1" s="1"/>
  <c r="U297" i="1"/>
  <c r="T297" i="1"/>
  <c r="T298" i="1" s="1"/>
  <c r="S297" i="1"/>
  <c r="S298" i="1" s="1"/>
  <c r="R297" i="1"/>
  <c r="R298" i="1" s="1"/>
  <c r="P297" i="1"/>
  <c r="O297" i="1"/>
  <c r="O298" i="1" s="1"/>
  <c r="N297" i="1"/>
  <c r="N298" i="1" s="1"/>
  <c r="M297" i="1"/>
  <c r="M298" i="1" s="1"/>
  <c r="K297" i="1"/>
  <c r="J297" i="1"/>
  <c r="J298" i="1" s="1"/>
  <c r="I297" i="1"/>
  <c r="I298" i="1" s="1"/>
  <c r="H297" i="1"/>
  <c r="H298" i="1" s="1"/>
  <c r="F297" i="1"/>
  <c r="E297" i="1"/>
  <c r="D297" i="1"/>
  <c r="C297" i="1"/>
  <c r="AG294" i="1"/>
  <c r="AG295" i="1" s="1"/>
  <c r="AE294" i="1"/>
  <c r="AD294" i="1"/>
  <c r="AD295" i="1" s="1"/>
  <c r="AI295" i="1" s="1"/>
  <c r="AC294" i="1"/>
  <c r="AC295" i="1" s="1"/>
  <c r="AH295" i="1" s="1"/>
  <c r="AB294" i="1"/>
  <c r="AB295" i="1" s="1"/>
  <c r="Z294" i="1"/>
  <c r="Y294" i="1"/>
  <c r="Y295" i="1" s="1"/>
  <c r="X294" i="1"/>
  <c r="X295" i="1" s="1"/>
  <c r="W294" i="1"/>
  <c r="W295" i="1" s="1"/>
  <c r="U294" i="1"/>
  <c r="T294" i="1"/>
  <c r="T295" i="1" s="1"/>
  <c r="S294" i="1"/>
  <c r="S295" i="1" s="1"/>
  <c r="R294" i="1"/>
  <c r="R295" i="1" s="1"/>
  <c r="P294" i="1"/>
  <c r="O294" i="1"/>
  <c r="O295" i="1" s="1"/>
  <c r="N294" i="1"/>
  <c r="N295" i="1" s="1"/>
  <c r="M294" i="1"/>
  <c r="M295" i="1" s="1"/>
  <c r="K294" i="1"/>
  <c r="J294" i="1"/>
  <c r="J295" i="1" s="1"/>
  <c r="I294" i="1"/>
  <c r="I295" i="1" s="1"/>
  <c r="H294" i="1"/>
  <c r="H295" i="1" s="1"/>
  <c r="F294" i="1"/>
  <c r="E294" i="1"/>
  <c r="D294" i="1"/>
  <c r="C294" i="1"/>
  <c r="AG291" i="1"/>
  <c r="AG292" i="1" s="1"/>
  <c r="AE291" i="1"/>
  <c r="AD291" i="1"/>
  <c r="AD292" i="1" s="1"/>
  <c r="AI292" i="1" s="1"/>
  <c r="AC291" i="1"/>
  <c r="AC292" i="1" s="1"/>
  <c r="AH292" i="1" s="1"/>
  <c r="AB291" i="1"/>
  <c r="AB292" i="1" s="1"/>
  <c r="Z291" i="1"/>
  <c r="Y291" i="1"/>
  <c r="Y292" i="1" s="1"/>
  <c r="X291" i="1"/>
  <c r="X292" i="1" s="1"/>
  <c r="W291" i="1"/>
  <c r="W292" i="1" s="1"/>
  <c r="U291" i="1"/>
  <c r="T291" i="1"/>
  <c r="T292" i="1" s="1"/>
  <c r="S291" i="1"/>
  <c r="S292" i="1" s="1"/>
  <c r="R291" i="1"/>
  <c r="R292" i="1" s="1"/>
  <c r="P291" i="1"/>
  <c r="O291" i="1"/>
  <c r="O292" i="1" s="1"/>
  <c r="N291" i="1"/>
  <c r="N292" i="1" s="1"/>
  <c r="M291" i="1"/>
  <c r="M292" i="1" s="1"/>
  <c r="K291" i="1"/>
  <c r="J291" i="1"/>
  <c r="J292" i="1" s="1"/>
  <c r="I291" i="1"/>
  <c r="I292" i="1" s="1"/>
  <c r="H291" i="1"/>
  <c r="H292" i="1" s="1"/>
  <c r="F291" i="1"/>
  <c r="E291" i="1"/>
  <c r="D291" i="1"/>
  <c r="C291" i="1"/>
  <c r="AG287" i="1"/>
  <c r="AE287" i="1"/>
  <c r="AD287" i="1"/>
  <c r="AC287" i="1"/>
  <c r="AB287" i="1"/>
  <c r="Z287" i="1"/>
  <c r="Y287" i="1"/>
  <c r="X287" i="1"/>
  <c r="W287" i="1"/>
  <c r="U287" i="1"/>
  <c r="T287" i="1"/>
  <c r="S287" i="1"/>
  <c r="R287" i="1"/>
  <c r="P287" i="1"/>
  <c r="O287" i="1"/>
  <c r="N287" i="1"/>
  <c r="M287" i="1"/>
  <c r="K287" i="1"/>
  <c r="J287" i="1"/>
  <c r="I287" i="1"/>
  <c r="H287" i="1"/>
  <c r="E287" i="1"/>
  <c r="D287" i="1"/>
  <c r="C287" i="1"/>
  <c r="C117" i="1" s="1"/>
  <c r="AG282" i="1"/>
  <c r="AE282" i="1"/>
  <c r="AD282" i="1"/>
  <c r="AC282" i="1"/>
  <c r="AB282" i="1"/>
  <c r="Z282" i="1"/>
  <c r="Y282" i="1"/>
  <c r="X282" i="1"/>
  <c r="W282" i="1"/>
  <c r="U282" i="1"/>
  <c r="T282" i="1"/>
  <c r="S282" i="1"/>
  <c r="R282" i="1"/>
  <c r="P282" i="1"/>
  <c r="O282" i="1"/>
  <c r="N282" i="1"/>
  <c r="M282" i="1"/>
  <c r="K282" i="1"/>
  <c r="J282" i="1"/>
  <c r="I282" i="1"/>
  <c r="H282" i="1"/>
  <c r="F282" i="1"/>
  <c r="E282" i="1"/>
  <c r="D282" i="1"/>
  <c r="C282" i="1"/>
  <c r="G282" i="1" s="1"/>
  <c r="AG277" i="1"/>
  <c r="AE277" i="1"/>
  <c r="AD277" i="1"/>
  <c r="AC277" i="1"/>
  <c r="AB277" i="1"/>
  <c r="Z277" i="1"/>
  <c r="Y277" i="1"/>
  <c r="X277" i="1"/>
  <c r="W277" i="1"/>
  <c r="U277" i="1"/>
  <c r="T277" i="1"/>
  <c r="S277" i="1"/>
  <c r="R277" i="1"/>
  <c r="P277" i="1"/>
  <c r="O277" i="1"/>
  <c r="N277" i="1"/>
  <c r="M277" i="1"/>
  <c r="K277" i="1"/>
  <c r="J277" i="1"/>
  <c r="I277" i="1"/>
  <c r="H277" i="1"/>
  <c r="F277" i="1"/>
  <c r="E277" i="1"/>
  <c r="D277" i="1"/>
  <c r="C277" i="1"/>
  <c r="AG272" i="1"/>
  <c r="AE272" i="1"/>
  <c r="AD272" i="1"/>
  <c r="AC272" i="1"/>
  <c r="AB272" i="1"/>
  <c r="Z272" i="1"/>
  <c r="Y272" i="1"/>
  <c r="X272" i="1"/>
  <c r="W272" i="1"/>
  <c r="U272" i="1"/>
  <c r="T272" i="1"/>
  <c r="S272" i="1"/>
  <c r="R272" i="1"/>
  <c r="P272" i="1"/>
  <c r="O272" i="1"/>
  <c r="N272" i="1"/>
  <c r="M272" i="1"/>
  <c r="K272" i="1"/>
  <c r="J272" i="1"/>
  <c r="I272" i="1"/>
  <c r="H272" i="1"/>
  <c r="F272" i="1"/>
  <c r="E272" i="1"/>
  <c r="D272" i="1"/>
  <c r="C272" i="1"/>
  <c r="G272" i="1" s="1"/>
  <c r="AG267" i="1"/>
  <c r="AE267" i="1"/>
  <c r="AD267" i="1"/>
  <c r="AC267" i="1"/>
  <c r="AB267" i="1"/>
  <c r="Z267" i="1"/>
  <c r="Y267" i="1"/>
  <c r="X267" i="1"/>
  <c r="W267" i="1"/>
  <c r="U267" i="1"/>
  <c r="T267" i="1"/>
  <c r="S267" i="1"/>
  <c r="R267" i="1"/>
  <c r="P267" i="1"/>
  <c r="O267" i="1"/>
  <c r="N267" i="1"/>
  <c r="M267" i="1"/>
  <c r="K267" i="1"/>
  <c r="J267" i="1"/>
  <c r="I267" i="1"/>
  <c r="H267" i="1"/>
  <c r="F267" i="1"/>
  <c r="E267" i="1"/>
  <c r="D267" i="1"/>
  <c r="C267" i="1"/>
  <c r="AG262" i="1"/>
  <c r="AE262" i="1"/>
  <c r="AD262" i="1"/>
  <c r="AC262" i="1"/>
  <c r="AB262" i="1"/>
  <c r="Z262" i="1"/>
  <c r="Y262" i="1"/>
  <c r="X262" i="1"/>
  <c r="W262" i="1"/>
  <c r="U262" i="1"/>
  <c r="T262" i="1"/>
  <c r="S262" i="1"/>
  <c r="R262" i="1"/>
  <c r="P262" i="1"/>
  <c r="O262" i="1"/>
  <c r="N262" i="1"/>
  <c r="M262" i="1"/>
  <c r="K262" i="1"/>
  <c r="J262" i="1"/>
  <c r="I262" i="1"/>
  <c r="H262" i="1"/>
  <c r="F262" i="1"/>
  <c r="E262" i="1"/>
  <c r="D262" i="1"/>
  <c r="C262" i="1"/>
  <c r="G262" i="1" s="1"/>
  <c r="AG259" i="1"/>
  <c r="AE259" i="1"/>
  <c r="AD259" i="1"/>
  <c r="AC259" i="1"/>
  <c r="AB259" i="1"/>
  <c r="Z259" i="1"/>
  <c r="Y259" i="1"/>
  <c r="X259" i="1"/>
  <c r="W259" i="1"/>
  <c r="U259" i="1"/>
  <c r="T259" i="1"/>
  <c r="S259" i="1"/>
  <c r="R259" i="1"/>
  <c r="P259" i="1"/>
  <c r="O259" i="1"/>
  <c r="N259" i="1"/>
  <c r="M259" i="1"/>
  <c r="K259" i="1"/>
  <c r="J259" i="1"/>
  <c r="I259" i="1"/>
  <c r="H259" i="1"/>
  <c r="F259" i="1"/>
  <c r="E259" i="1"/>
  <c r="D259" i="1"/>
  <c r="C259" i="1"/>
  <c r="G259" i="1" s="1"/>
  <c r="AG256" i="1"/>
  <c r="AE256" i="1"/>
  <c r="AD256" i="1"/>
  <c r="AC256" i="1"/>
  <c r="AB256" i="1"/>
  <c r="Z256" i="1"/>
  <c r="Y256" i="1"/>
  <c r="X256" i="1"/>
  <c r="W256" i="1"/>
  <c r="U256" i="1"/>
  <c r="T256" i="1"/>
  <c r="S256" i="1"/>
  <c r="R256" i="1"/>
  <c r="P256" i="1"/>
  <c r="O256" i="1"/>
  <c r="N256" i="1"/>
  <c r="M256" i="1"/>
  <c r="K256" i="1"/>
  <c r="J256" i="1"/>
  <c r="I256" i="1"/>
  <c r="H256" i="1"/>
  <c r="F256" i="1"/>
  <c r="E256" i="1"/>
  <c r="D256" i="1"/>
  <c r="C256" i="1"/>
  <c r="G256" i="1" s="1"/>
  <c r="AG250" i="1"/>
  <c r="AE250" i="1"/>
  <c r="AD250" i="1"/>
  <c r="AC250" i="1"/>
  <c r="Z250" i="1"/>
  <c r="Y250" i="1"/>
  <c r="X250" i="1"/>
  <c r="W250" i="1"/>
  <c r="U250" i="1"/>
  <c r="T250" i="1"/>
  <c r="S250" i="1"/>
  <c r="R250" i="1"/>
  <c r="P250" i="1"/>
  <c r="O250" i="1"/>
  <c r="N250" i="1"/>
  <c r="M250" i="1"/>
  <c r="K250" i="1"/>
  <c r="J250" i="1"/>
  <c r="I250" i="1"/>
  <c r="H250" i="1"/>
  <c r="F250" i="1"/>
  <c r="E250" i="1"/>
  <c r="D250" i="1"/>
  <c r="C250" i="1"/>
  <c r="AI232" i="1"/>
  <c r="AJ232" i="1" s="1"/>
  <c r="AG232" i="1"/>
  <c r="AE232" i="1"/>
  <c r="AD232" i="1"/>
  <c r="AC232" i="1"/>
  <c r="AB232" i="1"/>
  <c r="Z232" i="1"/>
  <c r="Y232" i="1"/>
  <c r="X232" i="1"/>
  <c r="W232" i="1"/>
  <c r="U232" i="1"/>
  <c r="T232" i="1"/>
  <c r="S232" i="1"/>
  <c r="R232" i="1"/>
  <c r="P232" i="1"/>
  <c r="O232" i="1"/>
  <c r="N232" i="1"/>
  <c r="M232" i="1"/>
  <c r="K232" i="1"/>
  <c r="J232" i="1"/>
  <c r="I232" i="1"/>
  <c r="H232" i="1"/>
  <c r="F232" i="1"/>
  <c r="E232" i="1"/>
  <c r="D232" i="1"/>
  <c r="C232" i="1"/>
  <c r="AG230" i="1"/>
  <c r="AE230" i="1"/>
  <c r="AD230" i="1"/>
  <c r="AC230" i="1"/>
  <c r="AB230" i="1"/>
  <c r="Z230" i="1"/>
  <c r="Y230" i="1"/>
  <c r="X230" i="1"/>
  <c r="W230" i="1"/>
  <c r="U230" i="1"/>
  <c r="T230" i="1"/>
  <c r="S230" i="1"/>
  <c r="R230" i="1"/>
  <c r="P230" i="1"/>
  <c r="O230" i="1"/>
  <c r="N230" i="1"/>
  <c r="M230" i="1"/>
  <c r="K230" i="1"/>
  <c r="J230" i="1"/>
  <c r="I230" i="1"/>
  <c r="H230" i="1"/>
  <c r="AF229" i="1"/>
  <c r="AA229" i="1"/>
  <c r="V229" i="1"/>
  <c r="Q229" i="1"/>
  <c r="L229" i="1"/>
  <c r="G229" i="1"/>
  <c r="AG226" i="1"/>
  <c r="AE226" i="1"/>
  <c r="AD226" i="1"/>
  <c r="AC226" i="1"/>
  <c r="AB226" i="1"/>
  <c r="Z226" i="1"/>
  <c r="Y226" i="1"/>
  <c r="X226" i="1"/>
  <c r="W226" i="1"/>
  <c r="U226" i="1"/>
  <c r="T226" i="1"/>
  <c r="S226" i="1"/>
  <c r="R226" i="1"/>
  <c r="P226" i="1"/>
  <c r="O226" i="1"/>
  <c r="N226" i="1"/>
  <c r="M226" i="1"/>
  <c r="K226" i="1"/>
  <c r="J226" i="1"/>
  <c r="I226" i="1"/>
  <c r="H226" i="1"/>
  <c r="AF225" i="1"/>
  <c r="AA225" i="1"/>
  <c r="V225" i="1"/>
  <c r="Q225" i="1"/>
  <c r="L225" i="1"/>
  <c r="G225" i="1"/>
  <c r="AG222" i="1"/>
  <c r="AE222" i="1"/>
  <c r="AD222" i="1"/>
  <c r="AC222" i="1"/>
  <c r="AB222" i="1"/>
  <c r="Z222" i="1"/>
  <c r="Y222" i="1"/>
  <c r="X222" i="1"/>
  <c r="W222" i="1"/>
  <c r="U222" i="1"/>
  <c r="T222" i="1"/>
  <c r="S222" i="1"/>
  <c r="R222" i="1"/>
  <c r="P222" i="1"/>
  <c r="O222" i="1"/>
  <c r="N222" i="1"/>
  <c r="M222" i="1"/>
  <c r="K222" i="1"/>
  <c r="J222" i="1"/>
  <c r="I222" i="1"/>
  <c r="H222" i="1"/>
  <c r="AF221" i="1"/>
  <c r="AA221" i="1"/>
  <c r="V221" i="1"/>
  <c r="Q221" i="1"/>
  <c r="L221" i="1"/>
  <c r="G221" i="1"/>
  <c r="AG218" i="1"/>
  <c r="AE218" i="1"/>
  <c r="AD218" i="1"/>
  <c r="AC218" i="1"/>
  <c r="AB218" i="1"/>
  <c r="Z218" i="1"/>
  <c r="Y218" i="1"/>
  <c r="X218" i="1"/>
  <c r="W218" i="1"/>
  <c r="U218" i="1"/>
  <c r="T218" i="1"/>
  <c r="S218" i="1"/>
  <c r="R218" i="1"/>
  <c r="V218" i="1" s="1"/>
  <c r="P218" i="1"/>
  <c r="O218" i="1"/>
  <c r="N218" i="1"/>
  <c r="M218" i="1"/>
  <c r="K218" i="1"/>
  <c r="J218" i="1"/>
  <c r="I218" i="1"/>
  <c r="H218" i="1"/>
  <c r="F218" i="1"/>
  <c r="E218" i="1"/>
  <c r="D218" i="1"/>
  <c r="C218" i="1"/>
  <c r="AG216" i="1"/>
  <c r="AE216" i="1"/>
  <c r="AD216" i="1"/>
  <c r="AC216" i="1"/>
  <c r="AB216" i="1"/>
  <c r="Z216" i="1"/>
  <c r="Y216" i="1"/>
  <c r="X216" i="1"/>
  <c r="W216" i="1"/>
  <c r="U216" i="1"/>
  <c r="T216" i="1"/>
  <c r="S216" i="1"/>
  <c r="R216" i="1"/>
  <c r="P216" i="1"/>
  <c r="O216" i="1"/>
  <c r="N216" i="1"/>
  <c r="M216" i="1"/>
  <c r="K216" i="1"/>
  <c r="J216" i="1"/>
  <c r="I216" i="1"/>
  <c r="H216" i="1"/>
  <c r="AG215" i="1"/>
  <c r="AE215" i="1"/>
  <c r="AD215" i="1"/>
  <c r="AC215" i="1"/>
  <c r="AB215" i="1"/>
  <c r="Z215" i="1"/>
  <c r="Y215" i="1"/>
  <c r="X215" i="1"/>
  <c r="W215" i="1"/>
  <c r="U215" i="1"/>
  <c r="T215" i="1"/>
  <c r="S215" i="1"/>
  <c r="R215" i="1"/>
  <c r="P215" i="1"/>
  <c r="O215" i="1"/>
  <c r="N215" i="1"/>
  <c r="M215" i="1"/>
  <c r="K215" i="1"/>
  <c r="J215" i="1"/>
  <c r="I215" i="1"/>
  <c r="H215" i="1"/>
  <c r="AI212" i="1"/>
  <c r="AJ212" i="1" s="1"/>
  <c r="AG212" i="1"/>
  <c r="AE212" i="1"/>
  <c r="AD212" i="1"/>
  <c r="AC212" i="1"/>
  <c r="AB212" i="1"/>
  <c r="Z212" i="1"/>
  <c r="Y212" i="1"/>
  <c r="X212" i="1"/>
  <c r="W212" i="1"/>
  <c r="U212" i="1"/>
  <c r="T212" i="1"/>
  <c r="S212" i="1"/>
  <c r="R212" i="1"/>
  <c r="P212" i="1"/>
  <c r="O212" i="1"/>
  <c r="N212" i="1"/>
  <c r="M212" i="1"/>
  <c r="K212" i="1"/>
  <c r="J212" i="1"/>
  <c r="I212" i="1"/>
  <c r="H212" i="1"/>
  <c r="F212" i="1"/>
  <c r="E212" i="1"/>
  <c r="D212" i="1"/>
  <c r="AI211" i="1"/>
  <c r="AG211" i="1"/>
  <c r="AE211" i="1"/>
  <c r="AD211" i="1"/>
  <c r="AC211" i="1"/>
  <c r="AB211" i="1"/>
  <c r="Z211" i="1"/>
  <c r="Y211" i="1"/>
  <c r="X211" i="1"/>
  <c r="W211" i="1"/>
  <c r="U211" i="1"/>
  <c r="T211" i="1"/>
  <c r="S211" i="1"/>
  <c r="R211" i="1"/>
  <c r="P211" i="1"/>
  <c r="O211" i="1"/>
  <c r="N211" i="1"/>
  <c r="M211" i="1"/>
  <c r="K211" i="1"/>
  <c r="J211" i="1"/>
  <c r="I211" i="1"/>
  <c r="H211" i="1"/>
  <c r="F211" i="1"/>
  <c r="F380" i="1" s="1"/>
  <c r="E211" i="1"/>
  <c r="E380" i="1" s="1"/>
  <c r="D211" i="1"/>
  <c r="D380" i="1" s="1"/>
  <c r="AH208" i="1"/>
  <c r="AF208" i="1"/>
  <c r="AA208" i="1"/>
  <c r="V208" i="1"/>
  <c r="Q208" i="1"/>
  <c r="L208" i="1"/>
  <c r="G208" i="1"/>
  <c r="AH207" i="1"/>
  <c r="AF207" i="1"/>
  <c r="AA207" i="1"/>
  <c r="V207" i="1"/>
  <c r="Q207" i="1"/>
  <c r="L207" i="1"/>
  <c r="G207" i="1"/>
  <c r="AH206" i="1"/>
  <c r="AG206" i="1"/>
  <c r="AE206" i="1"/>
  <c r="AD206" i="1"/>
  <c r="AC206" i="1"/>
  <c r="AB206" i="1"/>
  <c r="Z206" i="1"/>
  <c r="Y206" i="1"/>
  <c r="X206" i="1"/>
  <c r="W206" i="1"/>
  <c r="U206" i="1"/>
  <c r="T206" i="1"/>
  <c r="S206" i="1"/>
  <c r="R206" i="1"/>
  <c r="P206" i="1"/>
  <c r="O206" i="1"/>
  <c r="N206" i="1"/>
  <c r="M206" i="1"/>
  <c r="K206" i="1"/>
  <c r="J206" i="1"/>
  <c r="I206" i="1"/>
  <c r="H206" i="1"/>
  <c r="F206" i="1"/>
  <c r="E206" i="1"/>
  <c r="D206" i="1"/>
  <c r="C206" i="1"/>
  <c r="AG197" i="1"/>
  <c r="AK197" i="1" s="1"/>
  <c r="AF197" i="1"/>
  <c r="AA197" i="1"/>
  <c r="V197" i="1"/>
  <c r="Q197" i="1"/>
  <c r="L197" i="1"/>
  <c r="G197" i="1"/>
  <c r="AK196" i="1"/>
  <c r="AF196" i="1"/>
  <c r="AA196" i="1"/>
  <c r="V196" i="1"/>
  <c r="Q196" i="1"/>
  <c r="L196" i="1"/>
  <c r="G196" i="1"/>
  <c r="AK195" i="1"/>
  <c r="AF195" i="1"/>
  <c r="AA195" i="1"/>
  <c r="V195" i="1"/>
  <c r="Q195" i="1"/>
  <c r="L195" i="1"/>
  <c r="G195" i="1"/>
  <c r="AK194" i="1"/>
  <c r="AF194" i="1"/>
  <c r="AA194" i="1"/>
  <c r="V194" i="1"/>
  <c r="Q194" i="1"/>
  <c r="L194" i="1"/>
  <c r="G194" i="1"/>
  <c r="AK193" i="1"/>
  <c r="AF193" i="1"/>
  <c r="AA193" i="1"/>
  <c r="V193" i="1"/>
  <c r="Q193" i="1"/>
  <c r="L193" i="1"/>
  <c r="G193" i="1"/>
  <c r="AG190" i="1"/>
  <c r="AE190" i="1"/>
  <c r="AD190" i="1"/>
  <c r="AC190" i="1"/>
  <c r="AB190" i="1"/>
  <c r="Z190" i="1"/>
  <c r="Y190" i="1"/>
  <c r="X190" i="1"/>
  <c r="W190" i="1"/>
  <c r="U190" i="1"/>
  <c r="T190" i="1"/>
  <c r="S190" i="1"/>
  <c r="R190" i="1"/>
  <c r="P190" i="1"/>
  <c r="O190" i="1"/>
  <c r="N190" i="1"/>
  <c r="M190" i="1"/>
  <c r="K190" i="1"/>
  <c r="J190" i="1"/>
  <c r="I190" i="1"/>
  <c r="H190" i="1"/>
  <c r="F190" i="1"/>
  <c r="E190" i="1"/>
  <c r="D190" i="1"/>
  <c r="C190" i="1"/>
  <c r="AG187" i="1"/>
  <c r="AE187" i="1"/>
  <c r="AD187" i="1"/>
  <c r="AC187" i="1"/>
  <c r="AB187" i="1"/>
  <c r="Z187" i="1"/>
  <c r="Y187" i="1"/>
  <c r="X187" i="1"/>
  <c r="W187" i="1"/>
  <c r="U187" i="1"/>
  <c r="T187" i="1"/>
  <c r="S187" i="1"/>
  <c r="R187" i="1"/>
  <c r="P187" i="1"/>
  <c r="O187" i="1"/>
  <c r="N187" i="1"/>
  <c r="M187" i="1"/>
  <c r="K187" i="1"/>
  <c r="J187" i="1"/>
  <c r="I187" i="1"/>
  <c r="H187" i="1"/>
  <c r="AJ186" i="1"/>
  <c r="AI186" i="1"/>
  <c r="AH186" i="1"/>
  <c r="AF186" i="1"/>
  <c r="AA186" i="1"/>
  <c r="V186" i="1"/>
  <c r="Q186" i="1"/>
  <c r="L186" i="1"/>
  <c r="G186" i="1"/>
  <c r="AG183" i="1"/>
  <c r="AE183" i="1"/>
  <c r="AD183" i="1"/>
  <c r="AC183" i="1"/>
  <c r="AB183" i="1"/>
  <c r="Z183" i="1"/>
  <c r="Y183" i="1"/>
  <c r="X183" i="1"/>
  <c r="W183" i="1"/>
  <c r="U183" i="1"/>
  <c r="T183" i="1"/>
  <c r="S183" i="1"/>
  <c r="R183" i="1"/>
  <c r="P183" i="1"/>
  <c r="O183" i="1"/>
  <c r="N183" i="1"/>
  <c r="M183" i="1"/>
  <c r="K183" i="1"/>
  <c r="J183" i="1"/>
  <c r="I183" i="1"/>
  <c r="H183" i="1"/>
  <c r="AF182" i="1"/>
  <c r="AA182" i="1"/>
  <c r="V182" i="1"/>
  <c r="Q182" i="1"/>
  <c r="L182" i="1"/>
  <c r="G182" i="1"/>
  <c r="AI179" i="1"/>
  <c r="AJ179" i="1" s="1"/>
  <c r="AJ178" i="1" s="1"/>
  <c r="AG179" i="1"/>
  <c r="AE179" i="1"/>
  <c r="AD179" i="1"/>
  <c r="AC179" i="1"/>
  <c r="AB179" i="1"/>
  <c r="Z179" i="1"/>
  <c r="Y179" i="1"/>
  <c r="X179" i="1"/>
  <c r="W179" i="1"/>
  <c r="U179" i="1"/>
  <c r="T179" i="1"/>
  <c r="S179" i="1"/>
  <c r="R179" i="1"/>
  <c r="P179" i="1"/>
  <c r="O179" i="1"/>
  <c r="N179" i="1"/>
  <c r="M179" i="1"/>
  <c r="K179" i="1"/>
  <c r="J179" i="1"/>
  <c r="I179" i="1"/>
  <c r="H179" i="1"/>
  <c r="AI178" i="1"/>
  <c r="AH178" i="1"/>
  <c r="AF178" i="1"/>
  <c r="AA178" i="1"/>
  <c r="V178" i="1"/>
  <c r="Q178" i="1"/>
  <c r="L178" i="1"/>
  <c r="G178" i="1"/>
  <c r="AG175" i="1"/>
  <c r="AE175" i="1"/>
  <c r="AD175" i="1"/>
  <c r="AC175" i="1"/>
  <c r="AB175" i="1"/>
  <c r="Z175" i="1"/>
  <c r="Y175" i="1"/>
  <c r="X175" i="1"/>
  <c r="W175" i="1"/>
  <c r="U175" i="1"/>
  <c r="T175" i="1"/>
  <c r="S175" i="1"/>
  <c r="R175" i="1"/>
  <c r="P175" i="1"/>
  <c r="O175" i="1"/>
  <c r="N175" i="1"/>
  <c r="M175" i="1"/>
  <c r="K175" i="1"/>
  <c r="J175" i="1"/>
  <c r="I175" i="1"/>
  <c r="H175" i="1"/>
  <c r="AF174" i="1"/>
  <c r="AA174" i="1"/>
  <c r="AA175" i="1" s="1"/>
  <c r="V174" i="1"/>
  <c r="Q174" i="1"/>
  <c r="L174" i="1"/>
  <c r="G174" i="1"/>
  <c r="AE171" i="1"/>
  <c r="AD171" i="1"/>
  <c r="AC171" i="1"/>
  <c r="Z171" i="1"/>
  <c r="Y171" i="1"/>
  <c r="X171" i="1"/>
  <c r="W171" i="1"/>
  <c r="U171" i="1"/>
  <c r="T171" i="1"/>
  <c r="S171" i="1"/>
  <c r="R171" i="1"/>
  <c r="P171" i="1"/>
  <c r="O171" i="1"/>
  <c r="N171" i="1"/>
  <c r="M171" i="1"/>
  <c r="K171" i="1"/>
  <c r="J171" i="1"/>
  <c r="I171" i="1"/>
  <c r="H171" i="1"/>
  <c r="AB170" i="1"/>
  <c r="AA170" i="1"/>
  <c r="V170" i="1"/>
  <c r="Q170" i="1"/>
  <c r="L170" i="1"/>
  <c r="G170" i="1"/>
  <c r="AG167" i="1"/>
  <c r="AG10" i="1" s="1"/>
  <c r="AE167" i="1"/>
  <c r="AE10" i="1" s="1"/>
  <c r="AD167" i="1"/>
  <c r="AD10" i="1" s="1"/>
  <c r="AC167" i="1"/>
  <c r="AC10" i="1" s="1"/>
  <c r="AB167" i="1"/>
  <c r="AB10" i="1" s="1"/>
  <c r="Z167" i="1"/>
  <c r="Z10" i="1" s="1"/>
  <c r="Y167" i="1"/>
  <c r="Y10" i="1" s="1"/>
  <c r="X167" i="1"/>
  <c r="X10" i="1" s="1"/>
  <c r="W167" i="1"/>
  <c r="W10" i="1" s="1"/>
  <c r="U167" i="1"/>
  <c r="U10" i="1" s="1"/>
  <c r="T167" i="1"/>
  <c r="T10" i="1" s="1"/>
  <c r="S167" i="1"/>
  <c r="S10" i="1" s="1"/>
  <c r="R167" i="1"/>
  <c r="R10" i="1" s="1"/>
  <c r="P167" i="1"/>
  <c r="P10" i="1" s="1"/>
  <c r="O167" i="1"/>
  <c r="O10" i="1" s="1"/>
  <c r="N167" i="1"/>
  <c r="N10" i="1" s="1"/>
  <c r="M167" i="1"/>
  <c r="M10" i="1" s="1"/>
  <c r="K167" i="1"/>
  <c r="K10" i="1" s="1"/>
  <c r="J167" i="1"/>
  <c r="J10" i="1" s="1"/>
  <c r="I167" i="1"/>
  <c r="I10" i="1" s="1"/>
  <c r="H167" i="1"/>
  <c r="H10" i="1" s="1"/>
  <c r="F167" i="1"/>
  <c r="F10" i="1" s="1"/>
  <c r="F13" i="1" s="1"/>
  <c r="F14" i="1" s="1"/>
  <c r="E167" i="1"/>
  <c r="E10" i="1" s="1"/>
  <c r="E13" i="1" s="1"/>
  <c r="E14" i="1" s="1"/>
  <c r="D167" i="1"/>
  <c r="D10" i="1" s="1"/>
  <c r="D13" i="1" s="1"/>
  <c r="D14" i="1" s="1"/>
  <c r="C167" i="1"/>
  <c r="C10" i="1" s="1"/>
  <c r="AG161" i="1"/>
  <c r="AE161" i="1"/>
  <c r="AF161" i="1" s="1"/>
  <c r="AD161" i="1"/>
  <c r="AC161" i="1"/>
  <c r="AB161" i="1"/>
  <c r="Z161" i="1"/>
  <c r="AA161" i="1" s="1"/>
  <c r="Y161" i="1"/>
  <c r="X161" i="1"/>
  <c r="W161" i="1"/>
  <c r="U161" i="1"/>
  <c r="V161" i="1" s="1"/>
  <c r="T161" i="1"/>
  <c r="S161" i="1"/>
  <c r="R161" i="1"/>
  <c r="P161" i="1"/>
  <c r="Q161" i="1" s="1"/>
  <c r="O161" i="1"/>
  <c r="N161" i="1"/>
  <c r="M161" i="1"/>
  <c r="K161" i="1"/>
  <c r="L161" i="1" s="1"/>
  <c r="J161" i="1"/>
  <c r="I161" i="1"/>
  <c r="H161" i="1"/>
  <c r="F161" i="1"/>
  <c r="G161" i="1" s="1"/>
  <c r="E161" i="1"/>
  <c r="D161" i="1"/>
  <c r="C161" i="1"/>
  <c r="AF160" i="1"/>
  <c r="AA160" i="1"/>
  <c r="V160" i="1"/>
  <c r="Q160" i="1"/>
  <c r="L160" i="1"/>
  <c r="G160" i="1"/>
  <c r="AK155" i="1"/>
  <c r="AF155" i="1"/>
  <c r="AA155" i="1"/>
  <c r="V155" i="1"/>
  <c r="Q155" i="1"/>
  <c r="L155" i="1"/>
  <c r="G155" i="1"/>
  <c r="AF154" i="1"/>
  <c r="AA154" i="1"/>
  <c r="V154" i="1"/>
  <c r="Q154" i="1"/>
  <c r="L154" i="1"/>
  <c r="G154" i="1"/>
  <c r="AF153" i="1"/>
  <c r="AA153" i="1"/>
  <c r="V153" i="1"/>
  <c r="Q153" i="1"/>
  <c r="L153" i="1"/>
  <c r="G153" i="1"/>
  <c r="AG152" i="1"/>
  <c r="AE152" i="1"/>
  <c r="AD152" i="1"/>
  <c r="AC152" i="1"/>
  <c r="AB152" i="1"/>
  <c r="Z152" i="1"/>
  <c r="Y152" i="1"/>
  <c r="X152" i="1"/>
  <c r="W152" i="1"/>
  <c r="U152" i="1"/>
  <c r="T152" i="1"/>
  <c r="S152" i="1"/>
  <c r="R152" i="1"/>
  <c r="P152" i="1"/>
  <c r="O152" i="1"/>
  <c r="N152" i="1"/>
  <c r="M152" i="1"/>
  <c r="K152" i="1"/>
  <c r="J152" i="1"/>
  <c r="I152" i="1"/>
  <c r="H152" i="1"/>
  <c r="F152" i="1"/>
  <c r="E152" i="1"/>
  <c r="D152" i="1"/>
  <c r="C152" i="1"/>
  <c r="AG144" i="1"/>
  <c r="AE144" i="1"/>
  <c r="AF144" i="1" s="1"/>
  <c r="AD144" i="1"/>
  <c r="AC144" i="1"/>
  <c r="AB144" i="1"/>
  <c r="Z144" i="1"/>
  <c r="AA144" i="1" s="1"/>
  <c r="Y144" i="1"/>
  <c r="X144" i="1"/>
  <c r="W144" i="1"/>
  <c r="U144" i="1"/>
  <c r="V144" i="1" s="1"/>
  <c r="T144" i="1"/>
  <c r="S144" i="1"/>
  <c r="R144" i="1"/>
  <c r="P144" i="1"/>
  <c r="Q144" i="1" s="1"/>
  <c r="O144" i="1"/>
  <c r="N144" i="1"/>
  <c r="M144" i="1"/>
  <c r="K144" i="1"/>
  <c r="L144" i="1" s="1"/>
  <c r="J144" i="1"/>
  <c r="I144" i="1"/>
  <c r="H144" i="1"/>
  <c r="F144" i="1"/>
  <c r="G144" i="1" s="1"/>
  <c r="E144" i="1"/>
  <c r="D144" i="1"/>
  <c r="C144" i="1"/>
  <c r="AG129" i="1"/>
  <c r="AE129" i="1"/>
  <c r="AD129" i="1"/>
  <c r="AD143" i="1" s="1"/>
  <c r="AC129" i="1"/>
  <c r="AC143" i="1" s="1"/>
  <c r="AB129" i="1"/>
  <c r="AB143" i="1" s="1"/>
  <c r="Z129" i="1"/>
  <c r="Y129" i="1"/>
  <c r="Y143" i="1" s="1"/>
  <c r="X129" i="1"/>
  <c r="X143" i="1" s="1"/>
  <c r="W129" i="1"/>
  <c r="W143" i="1" s="1"/>
  <c r="U129" i="1"/>
  <c r="T129" i="1"/>
  <c r="T143" i="1" s="1"/>
  <c r="S129" i="1"/>
  <c r="S143" i="1" s="1"/>
  <c r="R129" i="1"/>
  <c r="R143" i="1" s="1"/>
  <c r="P129" i="1"/>
  <c r="O129" i="1"/>
  <c r="O143" i="1" s="1"/>
  <c r="N129" i="1"/>
  <c r="N143" i="1" s="1"/>
  <c r="M129" i="1"/>
  <c r="M143" i="1" s="1"/>
  <c r="K129" i="1"/>
  <c r="J129" i="1"/>
  <c r="J143" i="1" s="1"/>
  <c r="I129" i="1"/>
  <c r="I143" i="1" s="1"/>
  <c r="H129" i="1"/>
  <c r="H143" i="1" s="1"/>
  <c r="F129" i="1"/>
  <c r="E129" i="1"/>
  <c r="E143" i="1" s="1"/>
  <c r="D129" i="1"/>
  <c r="D143" i="1" s="1"/>
  <c r="C129" i="1"/>
  <c r="C143" i="1" s="1"/>
  <c r="AG128" i="1"/>
  <c r="AE128" i="1"/>
  <c r="AD128" i="1"/>
  <c r="AC128" i="1"/>
  <c r="AB128" i="1"/>
  <c r="Z128" i="1"/>
  <c r="AF329" i="1" s="1"/>
  <c r="Y128" i="1"/>
  <c r="X128" i="1"/>
  <c r="W128" i="1"/>
  <c r="U128" i="1"/>
  <c r="T128" i="1"/>
  <c r="S128" i="1"/>
  <c r="R128" i="1"/>
  <c r="P128" i="1"/>
  <c r="O128" i="1"/>
  <c r="N128" i="1"/>
  <c r="M128" i="1"/>
  <c r="K128" i="1"/>
  <c r="J128" i="1"/>
  <c r="I128" i="1"/>
  <c r="H128" i="1"/>
  <c r="F128" i="1"/>
  <c r="E128" i="1"/>
  <c r="D128" i="1"/>
  <c r="C128" i="1"/>
  <c r="AG127" i="1"/>
  <c r="AE127" i="1"/>
  <c r="AF127" i="1" s="1"/>
  <c r="AD127" i="1"/>
  <c r="AC127" i="1"/>
  <c r="AB127" i="1"/>
  <c r="Z127" i="1"/>
  <c r="Y127" i="1"/>
  <c r="X127" i="1"/>
  <c r="W127" i="1"/>
  <c r="U127" i="1"/>
  <c r="T127" i="1"/>
  <c r="S127" i="1"/>
  <c r="R127" i="1"/>
  <c r="P127" i="1"/>
  <c r="O127" i="1"/>
  <c r="N127" i="1"/>
  <c r="M127" i="1"/>
  <c r="K127" i="1"/>
  <c r="J127" i="1"/>
  <c r="I127" i="1"/>
  <c r="H127" i="1"/>
  <c r="F127" i="1"/>
  <c r="E127" i="1"/>
  <c r="D127" i="1"/>
  <c r="C127" i="1"/>
  <c r="AG126" i="1"/>
  <c r="AE126" i="1"/>
  <c r="AD126" i="1"/>
  <c r="AC126" i="1"/>
  <c r="AB126" i="1"/>
  <c r="Z126" i="1"/>
  <c r="Y126" i="1"/>
  <c r="X126" i="1"/>
  <c r="W126" i="1"/>
  <c r="U126" i="1"/>
  <c r="T126" i="1"/>
  <c r="S126" i="1"/>
  <c r="R126" i="1"/>
  <c r="P126" i="1"/>
  <c r="O126" i="1"/>
  <c r="N126" i="1"/>
  <c r="M126" i="1"/>
  <c r="K126" i="1"/>
  <c r="J126" i="1"/>
  <c r="I126" i="1"/>
  <c r="H126" i="1"/>
  <c r="F126" i="1"/>
  <c r="E126" i="1"/>
  <c r="D126" i="1"/>
  <c r="C126" i="1"/>
  <c r="AG125" i="1"/>
  <c r="AE125" i="1"/>
  <c r="AG116" i="1"/>
  <c r="AE116" i="1"/>
  <c r="AD116" i="1"/>
  <c r="AC116" i="1"/>
  <c r="AB116" i="1"/>
  <c r="Z116" i="1"/>
  <c r="AF116" i="1" s="1"/>
  <c r="Y116" i="1"/>
  <c r="X116" i="1"/>
  <c r="W116" i="1"/>
  <c r="U116" i="1"/>
  <c r="AA116" i="1" s="1"/>
  <c r="T116" i="1"/>
  <c r="S116" i="1"/>
  <c r="R116" i="1"/>
  <c r="P116" i="1"/>
  <c r="V116" i="1" s="1"/>
  <c r="O116" i="1"/>
  <c r="N116" i="1"/>
  <c r="M116" i="1"/>
  <c r="K116" i="1"/>
  <c r="Q116" i="1" s="1"/>
  <c r="J116" i="1"/>
  <c r="I116" i="1"/>
  <c r="H116" i="1"/>
  <c r="F116" i="1"/>
  <c r="L116" i="1" s="1"/>
  <c r="E116" i="1"/>
  <c r="D116" i="1"/>
  <c r="C116" i="1"/>
  <c r="G116" i="1" s="1"/>
  <c r="AG115" i="1"/>
  <c r="AE115" i="1"/>
  <c r="AD115" i="1"/>
  <c r="AC115" i="1"/>
  <c r="AB115" i="1"/>
  <c r="Z115" i="1"/>
  <c r="AF115" i="1" s="1"/>
  <c r="Y115" i="1"/>
  <c r="X115" i="1"/>
  <c r="W115" i="1"/>
  <c r="U115" i="1"/>
  <c r="AA115" i="1" s="1"/>
  <c r="T115" i="1"/>
  <c r="S115" i="1"/>
  <c r="R115" i="1"/>
  <c r="P115" i="1"/>
  <c r="V115" i="1" s="1"/>
  <c r="O115" i="1"/>
  <c r="N115" i="1"/>
  <c r="M115" i="1"/>
  <c r="K115" i="1"/>
  <c r="Q115" i="1" s="1"/>
  <c r="J115" i="1"/>
  <c r="I115" i="1"/>
  <c r="H115" i="1"/>
  <c r="F115" i="1"/>
  <c r="L115" i="1" s="1"/>
  <c r="E115" i="1"/>
  <c r="D115" i="1"/>
  <c r="C115" i="1"/>
  <c r="G115" i="1" s="1"/>
  <c r="AG93" i="1"/>
  <c r="AE93" i="1"/>
  <c r="AD93" i="1"/>
  <c r="AC93" i="1"/>
  <c r="AB93" i="1"/>
  <c r="AF93" i="1" s="1"/>
  <c r="Z93" i="1"/>
  <c r="Y93" i="1"/>
  <c r="X93" i="1"/>
  <c r="W93" i="1"/>
  <c r="AA93" i="1" s="1"/>
  <c r="U93" i="1"/>
  <c r="T93" i="1"/>
  <c r="S93" i="1"/>
  <c r="R93" i="1"/>
  <c r="V93" i="1" s="1"/>
  <c r="P93" i="1"/>
  <c r="O93" i="1"/>
  <c r="N93" i="1"/>
  <c r="M93" i="1"/>
  <c r="Q93" i="1" s="1"/>
  <c r="K93" i="1"/>
  <c r="J93" i="1"/>
  <c r="I93" i="1"/>
  <c r="H93" i="1"/>
  <c r="L93" i="1" s="1"/>
  <c r="F93" i="1"/>
  <c r="E93" i="1"/>
  <c r="D93" i="1"/>
  <c r="G93" i="1" s="1"/>
  <c r="AH85" i="1"/>
  <c r="AI85" i="1" s="1"/>
  <c r="AJ85" i="1" s="1"/>
  <c r="AK85" i="1" s="1"/>
  <c r="AL85" i="1" s="1"/>
  <c r="AM85" i="1" s="1"/>
  <c r="AN85" i="1" s="1"/>
  <c r="AO85" i="1" s="1"/>
  <c r="AP85" i="1" s="1"/>
  <c r="AQ85" i="1" s="1"/>
  <c r="AR85" i="1" s="1"/>
  <c r="AS85" i="1" s="1"/>
  <c r="AT85" i="1" s="1"/>
  <c r="AF85" i="1"/>
  <c r="AA85" i="1"/>
  <c r="V85" i="1"/>
  <c r="Q85" i="1"/>
  <c r="L85" i="1"/>
  <c r="G85" i="1"/>
  <c r="AG84" i="1"/>
  <c r="AE84" i="1"/>
  <c r="AF84" i="1" s="1"/>
  <c r="AD84" i="1"/>
  <c r="AC84" i="1"/>
  <c r="AB84" i="1"/>
  <c r="Z84" i="1"/>
  <c r="AA84" i="1" s="1"/>
  <c r="Y84" i="1"/>
  <c r="X84" i="1"/>
  <c r="W84" i="1"/>
  <c r="U84" i="1"/>
  <c r="V84" i="1" s="1"/>
  <c r="T84" i="1"/>
  <c r="S84" i="1"/>
  <c r="R84" i="1"/>
  <c r="P84" i="1"/>
  <c r="Q84" i="1" s="1"/>
  <c r="O84" i="1"/>
  <c r="N84" i="1"/>
  <c r="M84" i="1"/>
  <c r="K84" i="1"/>
  <c r="L84" i="1" s="1"/>
  <c r="J84" i="1"/>
  <c r="I84" i="1"/>
  <c r="H84" i="1"/>
  <c r="F84" i="1"/>
  <c r="G84" i="1" s="1"/>
  <c r="E84" i="1"/>
  <c r="D84" i="1"/>
  <c r="C84" i="1"/>
  <c r="AF83" i="1"/>
  <c r="AA83" i="1"/>
  <c r="V83" i="1"/>
  <c r="Q83" i="1"/>
  <c r="L83" i="1"/>
  <c r="G83" i="1"/>
  <c r="AH82" i="1"/>
  <c r="AI82" i="1" s="1"/>
  <c r="AF82" i="1"/>
  <c r="AA82" i="1"/>
  <c r="V82" i="1"/>
  <c r="Q82" i="1"/>
  <c r="L82" i="1"/>
  <c r="G82" i="1"/>
  <c r="AF81" i="1"/>
  <c r="AA81" i="1"/>
  <c r="V81" i="1"/>
  <c r="Q81" i="1"/>
  <c r="L81" i="1"/>
  <c r="G81" i="1"/>
  <c r="AF80" i="1"/>
  <c r="AA80" i="1"/>
  <c r="V80" i="1"/>
  <c r="Q80" i="1"/>
  <c r="L80" i="1"/>
  <c r="G80" i="1"/>
  <c r="AF79" i="1"/>
  <c r="AA79" i="1"/>
  <c r="V79" i="1"/>
  <c r="Q79" i="1"/>
  <c r="L79" i="1"/>
  <c r="G79" i="1"/>
  <c r="AH78" i="1"/>
  <c r="AG78" i="1"/>
  <c r="AE78" i="1"/>
  <c r="AF78" i="1" s="1"/>
  <c r="AD78" i="1"/>
  <c r="AC78" i="1"/>
  <c r="AB78" i="1"/>
  <c r="Z78" i="1"/>
  <c r="AA78" i="1" s="1"/>
  <c r="Y78" i="1"/>
  <c r="X78" i="1"/>
  <c r="W78" i="1"/>
  <c r="U78" i="1"/>
  <c r="V78" i="1" s="1"/>
  <c r="T78" i="1"/>
  <c r="S78" i="1"/>
  <c r="R78" i="1"/>
  <c r="P78" i="1"/>
  <c r="Q78" i="1" s="1"/>
  <c r="O78" i="1"/>
  <c r="N78" i="1"/>
  <c r="M78" i="1"/>
  <c r="K78" i="1"/>
  <c r="L78" i="1" s="1"/>
  <c r="J78" i="1"/>
  <c r="I78" i="1"/>
  <c r="H78" i="1"/>
  <c r="F78" i="1"/>
  <c r="G78" i="1" s="1"/>
  <c r="E78" i="1"/>
  <c r="D78" i="1"/>
  <c r="C78" i="1"/>
  <c r="AF77" i="1"/>
  <c r="AA77" i="1"/>
  <c r="V77" i="1"/>
  <c r="Q77" i="1"/>
  <c r="L77" i="1"/>
  <c r="G77" i="1"/>
  <c r="AF76" i="1"/>
  <c r="AA76" i="1"/>
  <c r="V76" i="1"/>
  <c r="Q76" i="1"/>
  <c r="L76" i="1"/>
  <c r="G76" i="1"/>
  <c r="AF75" i="1"/>
  <c r="AA75" i="1"/>
  <c r="V75" i="1"/>
  <c r="Q75" i="1"/>
  <c r="L75" i="1"/>
  <c r="G75" i="1"/>
  <c r="AH74" i="1"/>
  <c r="AI74" i="1" s="1"/>
  <c r="AJ74" i="1" s="1"/>
  <c r="AK74" i="1" s="1"/>
  <c r="AL74" i="1" s="1"/>
  <c r="AM74" i="1" s="1"/>
  <c r="AN74" i="1" s="1"/>
  <c r="AO74" i="1" s="1"/>
  <c r="AP74" i="1" s="1"/>
  <c r="AQ74" i="1" s="1"/>
  <c r="AR74" i="1" s="1"/>
  <c r="AS74" i="1" s="1"/>
  <c r="AT74" i="1" s="1"/>
  <c r="AF74" i="1"/>
  <c r="AA74" i="1"/>
  <c r="V74" i="1"/>
  <c r="Q74" i="1"/>
  <c r="L74" i="1"/>
  <c r="G74" i="1"/>
  <c r="AF73" i="1"/>
  <c r="AA73" i="1"/>
  <c r="V73" i="1"/>
  <c r="Q73" i="1"/>
  <c r="L73" i="1"/>
  <c r="G73" i="1"/>
  <c r="AH72" i="1"/>
  <c r="AI72" i="1" s="1"/>
  <c r="AJ72" i="1" s="1"/>
  <c r="AK72" i="1" s="1"/>
  <c r="AL72" i="1" s="1"/>
  <c r="AM72" i="1" s="1"/>
  <c r="AN72" i="1" s="1"/>
  <c r="AO72" i="1" s="1"/>
  <c r="AP72" i="1" s="1"/>
  <c r="AQ72" i="1" s="1"/>
  <c r="AR72" i="1" s="1"/>
  <c r="AS72" i="1" s="1"/>
  <c r="AT72" i="1" s="1"/>
  <c r="AF72" i="1"/>
  <c r="AA72" i="1"/>
  <c r="V72" i="1"/>
  <c r="Q72" i="1"/>
  <c r="L72" i="1"/>
  <c r="G72" i="1"/>
  <c r="AF71" i="1"/>
  <c r="AA71" i="1"/>
  <c r="V71" i="1"/>
  <c r="Q71" i="1"/>
  <c r="L71" i="1"/>
  <c r="G71" i="1"/>
  <c r="AF70" i="1"/>
  <c r="AA70" i="1"/>
  <c r="V70" i="1"/>
  <c r="Q70" i="1"/>
  <c r="L70" i="1"/>
  <c r="G70" i="1"/>
  <c r="AG69" i="1"/>
  <c r="AE69" i="1"/>
  <c r="AF69" i="1" s="1"/>
  <c r="AD69" i="1"/>
  <c r="AC69" i="1"/>
  <c r="AB69" i="1"/>
  <c r="Z69" i="1"/>
  <c r="AA69" i="1" s="1"/>
  <c r="Y69" i="1"/>
  <c r="X69" i="1"/>
  <c r="W69" i="1"/>
  <c r="U69" i="1"/>
  <c r="V69" i="1" s="1"/>
  <c r="T69" i="1"/>
  <c r="S69" i="1"/>
  <c r="R69" i="1"/>
  <c r="P69" i="1"/>
  <c r="Q69" i="1" s="1"/>
  <c r="O69" i="1"/>
  <c r="N69" i="1"/>
  <c r="M69" i="1"/>
  <c r="K69" i="1"/>
  <c r="L69" i="1" s="1"/>
  <c r="J69" i="1"/>
  <c r="I69" i="1"/>
  <c r="H69" i="1"/>
  <c r="F69" i="1"/>
  <c r="G69" i="1" s="1"/>
  <c r="E69" i="1"/>
  <c r="D69" i="1"/>
  <c r="C69" i="1"/>
  <c r="AG68" i="1"/>
  <c r="AE68" i="1"/>
  <c r="AF68" i="1" s="1"/>
  <c r="AD68" i="1"/>
  <c r="AC68" i="1"/>
  <c r="AB68" i="1"/>
  <c r="Z68" i="1"/>
  <c r="AA68" i="1" s="1"/>
  <c r="Y68" i="1"/>
  <c r="X68" i="1"/>
  <c r="W68" i="1"/>
  <c r="U68" i="1"/>
  <c r="V68" i="1" s="1"/>
  <c r="T68" i="1"/>
  <c r="S68" i="1"/>
  <c r="R68" i="1"/>
  <c r="P68" i="1"/>
  <c r="Q68" i="1" s="1"/>
  <c r="O68" i="1"/>
  <c r="N68" i="1"/>
  <c r="M68" i="1"/>
  <c r="K68" i="1"/>
  <c r="L68" i="1" s="1"/>
  <c r="J68" i="1"/>
  <c r="I68" i="1"/>
  <c r="H68" i="1"/>
  <c r="F68" i="1"/>
  <c r="G68" i="1" s="1"/>
  <c r="E68" i="1"/>
  <c r="D68" i="1"/>
  <c r="C68" i="1"/>
  <c r="AF66" i="1"/>
  <c r="AA66" i="1"/>
  <c r="V66" i="1"/>
  <c r="Q66" i="1"/>
  <c r="L66" i="1"/>
  <c r="G66" i="1"/>
  <c r="AF65" i="1"/>
  <c r="AA65" i="1"/>
  <c r="V65" i="1"/>
  <c r="Q65" i="1"/>
  <c r="L65" i="1"/>
  <c r="G65" i="1"/>
  <c r="AF64" i="1"/>
  <c r="AA64" i="1"/>
  <c r="V64" i="1"/>
  <c r="Q64" i="1"/>
  <c r="L64" i="1"/>
  <c r="G64" i="1"/>
  <c r="AH63" i="1"/>
  <c r="AI63" i="1" s="1"/>
  <c r="AJ63" i="1" s="1"/>
  <c r="AK63" i="1" s="1"/>
  <c r="AL63" i="1" s="1"/>
  <c r="AM63" i="1" s="1"/>
  <c r="AN63" i="1" s="1"/>
  <c r="AO63" i="1" s="1"/>
  <c r="AP63" i="1" s="1"/>
  <c r="AQ63" i="1" s="1"/>
  <c r="AR63" i="1" s="1"/>
  <c r="AS63" i="1" s="1"/>
  <c r="AT63" i="1" s="1"/>
  <c r="AF63" i="1"/>
  <c r="AA63" i="1"/>
  <c r="V63" i="1"/>
  <c r="Q63" i="1"/>
  <c r="L63" i="1"/>
  <c r="G63" i="1"/>
  <c r="AH62" i="1"/>
  <c r="AI62" i="1" s="1"/>
  <c r="AJ62" i="1" s="1"/>
  <c r="AK62" i="1" s="1"/>
  <c r="AL62" i="1" s="1"/>
  <c r="AM62" i="1" s="1"/>
  <c r="AN62" i="1" s="1"/>
  <c r="AO62" i="1" s="1"/>
  <c r="AP62" i="1" s="1"/>
  <c r="AQ62" i="1" s="1"/>
  <c r="AR62" i="1" s="1"/>
  <c r="AS62" i="1" s="1"/>
  <c r="AT62" i="1" s="1"/>
  <c r="AF62" i="1"/>
  <c r="AA62" i="1"/>
  <c r="V62" i="1"/>
  <c r="Q62" i="1"/>
  <c r="L62" i="1"/>
  <c r="G62" i="1"/>
  <c r="AH61" i="1"/>
  <c r="AI61" i="1" s="1"/>
  <c r="AJ61" i="1" s="1"/>
  <c r="AK61" i="1" s="1"/>
  <c r="AL61" i="1" s="1"/>
  <c r="AM61" i="1" s="1"/>
  <c r="AN61" i="1" s="1"/>
  <c r="AO61" i="1" s="1"/>
  <c r="AP61" i="1" s="1"/>
  <c r="AQ61" i="1" s="1"/>
  <c r="AR61" i="1" s="1"/>
  <c r="AS61" i="1" s="1"/>
  <c r="AT61" i="1" s="1"/>
  <c r="AF61" i="1"/>
  <c r="AA61" i="1"/>
  <c r="V61" i="1"/>
  <c r="Q61" i="1"/>
  <c r="L61" i="1"/>
  <c r="G61" i="1"/>
  <c r="AH60" i="1"/>
  <c r="AI60" i="1" s="1"/>
  <c r="AF60" i="1"/>
  <c r="AA60" i="1"/>
  <c r="V60" i="1"/>
  <c r="Q60" i="1"/>
  <c r="L60" i="1"/>
  <c r="G60" i="1"/>
  <c r="AG59" i="1"/>
  <c r="AE59" i="1"/>
  <c r="AF59" i="1" s="1"/>
  <c r="AD59" i="1"/>
  <c r="AC59" i="1"/>
  <c r="AB59" i="1"/>
  <c r="Z59" i="1"/>
  <c r="AA59" i="1" s="1"/>
  <c r="Y59" i="1"/>
  <c r="X59" i="1"/>
  <c r="W59" i="1"/>
  <c r="U59" i="1"/>
  <c r="V59" i="1" s="1"/>
  <c r="T59" i="1"/>
  <c r="S59" i="1"/>
  <c r="R59" i="1"/>
  <c r="P59" i="1"/>
  <c r="Q59" i="1" s="1"/>
  <c r="O59" i="1"/>
  <c r="N59" i="1"/>
  <c r="M59" i="1"/>
  <c r="K59" i="1"/>
  <c r="L59" i="1" s="1"/>
  <c r="J59" i="1"/>
  <c r="I59" i="1"/>
  <c r="H59" i="1"/>
  <c r="F59" i="1"/>
  <c r="G59" i="1" s="1"/>
  <c r="E59" i="1"/>
  <c r="D59" i="1"/>
  <c r="C59" i="1"/>
  <c r="AH58" i="1"/>
  <c r="AI58" i="1" s="1"/>
  <c r="AJ58" i="1" s="1"/>
  <c r="AK58" i="1" s="1"/>
  <c r="AL58" i="1" s="1"/>
  <c r="AM58" i="1" s="1"/>
  <c r="AN58" i="1" s="1"/>
  <c r="AO58" i="1" s="1"/>
  <c r="AP58" i="1" s="1"/>
  <c r="AQ58" i="1" s="1"/>
  <c r="AR58" i="1" s="1"/>
  <c r="AS58" i="1" s="1"/>
  <c r="AT58" i="1" s="1"/>
  <c r="AF58" i="1"/>
  <c r="AA58" i="1"/>
  <c r="V58" i="1"/>
  <c r="Q58" i="1"/>
  <c r="L58" i="1"/>
  <c r="G58" i="1"/>
  <c r="AH57" i="1"/>
  <c r="AI57" i="1" s="1"/>
  <c r="AJ57" i="1" s="1"/>
  <c r="AK57" i="1" s="1"/>
  <c r="AL57" i="1" s="1"/>
  <c r="AM57" i="1" s="1"/>
  <c r="AN57" i="1" s="1"/>
  <c r="AO57" i="1" s="1"/>
  <c r="AP57" i="1" s="1"/>
  <c r="AQ57" i="1" s="1"/>
  <c r="AR57" i="1" s="1"/>
  <c r="AS57" i="1" s="1"/>
  <c r="AT57" i="1" s="1"/>
  <c r="AF57" i="1"/>
  <c r="AA57" i="1"/>
  <c r="V57" i="1"/>
  <c r="Q57" i="1"/>
  <c r="L57" i="1"/>
  <c r="G57" i="1"/>
  <c r="AF56" i="1"/>
  <c r="AA56" i="1"/>
  <c r="V56" i="1"/>
  <c r="Q56" i="1"/>
  <c r="L56" i="1"/>
  <c r="G56" i="1"/>
  <c r="AF55" i="1"/>
  <c r="AA55" i="1"/>
  <c r="V55" i="1"/>
  <c r="Q55" i="1"/>
  <c r="L55" i="1"/>
  <c r="G55" i="1"/>
  <c r="AF54" i="1"/>
  <c r="AA54" i="1"/>
  <c r="V54" i="1"/>
  <c r="Q54" i="1"/>
  <c r="L54" i="1"/>
  <c r="G54" i="1"/>
  <c r="AG53" i="1"/>
  <c r="AE53" i="1"/>
  <c r="AF53" i="1" s="1"/>
  <c r="AD53" i="1"/>
  <c r="AC53" i="1"/>
  <c r="AB53" i="1"/>
  <c r="Z53" i="1"/>
  <c r="AA53" i="1" s="1"/>
  <c r="Y53" i="1"/>
  <c r="X53" i="1"/>
  <c r="W53" i="1"/>
  <c r="U53" i="1"/>
  <c r="V53" i="1" s="1"/>
  <c r="T53" i="1"/>
  <c r="S53" i="1"/>
  <c r="R53" i="1"/>
  <c r="P53" i="1"/>
  <c r="Q53" i="1" s="1"/>
  <c r="O53" i="1"/>
  <c r="N53" i="1"/>
  <c r="M53" i="1"/>
  <c r="K53" i="1"/>
  <c r="L53" i="1" s="1"/>
  <c r="J53" i="1"/>
  <c r="I53" i="1"/>
  <c r="H53" i="1"/>
  <c r="F53" i="1"/>
  <c r="G53" i="1" s="1"/>
  <c r="E53" i="1"/>
  <c r="D53" i="1"/>
  <c r="C53" i="1"/>
  <c r="AG52" i="1"/>
  <c r="AG87" i="1" s="1"/>
  <c r="AE52" i="1"/>
  <c r="AD52" i="1"/>
  <c r="AD87" i="1" s="1"/>
  <c r="AC52" i="1"/>
  <c r="AC87" i="1" s="1"/>
  <c r="AB52" i="1"/>
  <c r="AB87" i="1" s="1"/>
  <c r="Z52" i="1"/>
  <c r="Y52" i="1"/>
  <c r="Y87" i="1" s="1"/>
  <c r="X52" i="1"/>
  <c r="X87" i="1" s="1"/>
  <c r="W52" i="1"/>
  <c r="W87" i="1" s="1"/>
  <c r="U52" i="1"/>
  <c r="T52" i="1"/>
  <c r="T87" i="1" s="1"/>
  <c r="S52" i="1"/>
  <c r="S87" i="1" s="1"/>
  <c r="R52" i="1"/>
  <c r="R87" i="1" s="1"/>
  <c r="P52" i="1"/>
  <c r="O52" i="1"/>
  <c r="O87" i="1" s="1"/>
  <c r="N52" i="1"/>
  <c r="N87" i="1" s="1"/>
  <c r="M52" i="1"/>
  <c r="M87" i="1" s="1"/>
  <c r="K52" i="1"/>
  <c r="J52" i="1"/>
  <c r="J87" i="1" s="1"/>
  <c r="I52" i="1"/>
  <c r="I87" i="1" s="1"/>
  <c r="H52" i="1"/>
  <c r="H87" i="1" s="1"/>
  <c r="F52" i="1"/>
  <c r="E52" i="1"/>
  <c r="E87" i="1" s="1"/>
  <c r="D52" i="1"/>
  <c r="D87" i="1" s="1"/>
  <c r="C52" i="1"/>
  <c r="C87" i="1" s="1"/>
  <c r="AF43" i="1"/>
  <c r="AA43" i="1"/>
  <c r="V43" i="1"/>
  <c r="Q43" i="1"/>
  <c r="L43" i="1"/>
  <c r="G43" i="1"/>
  <c r="AG38" i="1"/>
  <c r="AE38" i="1"/>
  <c r="AE92" i="1" s="1"/>
  <c r="AD38" i="1"/>
  <c r="AD92" i="1" s="1"/>
  <c r="AC38" i="1"/>
  <c r="AC92" i="1" s="1"/>
  <c r="AB38" i="1"/>
  <c r="Z38" i="1"/>
  <c r="Z92" i="1" s="1"/>
  <c r="Y38" i="1"/>
  <c r="Y92" i="1" s="1"/>
  <c r="X38" i="1"/>
  <c r="X92" i="1" s="1"/>
  <c r="W38" i="1"/>
  <c r="U38" i="1"/>
  <c r="U92" i="1" s="1"/>
  <c r="T38" i="1"/>
  <c r="T92" i="1" s="1"/>
  <c r="S38" i="1"/>
  <c r="S92" i="1" s="1"/>
  <c r="R38" i="1"/>
  <c r="P38" i="1"/>
  <c r="P92" i="1" s="1"/>
  <c r="O38" i="1"/>
  <c r="O92" i="1" s="1"/>
  <c r="N38" i="1"/>
  <c r="N92" i="1" s="1"/>
  <c r="M38" i="1"/>
  <c r="K38" i="1"/>
  <c r="K92" i="1" s="1"/>
  <c r="J38" i="1"/>
  <c r="J92" i="1" s="1"/>
  <c r="I38" i="1"/>
  <c r="I92" i="1" s="1"/>
  <c r="H38" i="1"/>
  <c r="F38" i="1"/>
  <c r="F92" i="1" s="1"/>
  <c r="E38" i="1"/>
  <c r="E92" i="1" s="1"/>
  <c r="D38" i="1"/>
  <c r="D92" i="1" s="1"/>
  <c r="G92" i="1" s="1"/>
  <c r="C38" i="1"/>
  <c r="G38" i="1" s="1"/>
  <c r="AG33" i="1"/>
  <c r="AD33" i="1"/>
  <c r="AC33" i="1"/>
  <c r="AB33" i="1"/>
  <c r="Z33" i="1"/>
  <c r="Y33" i="1"/>
  <c r="X33" i="1"/>
  <c r="W33" i="1"/>
  <c r="AA33" i="1" s="1"/>
  <c r="U33" i="1"/>
  <c r="T33" i="1"/>
  <c r="S33" i="1"/>
  <c r="R33" i="1"/>
  <c r="V33" i="1" s="1"/>
  <c r="P33" i="1"/>
  <c r="O33" i="1"/>
  <c r="N33" i="1"/>
  <c r="M33" i="1"/>
  <c r="Q33" i="1" s="1"/>
  <c r="K33" i="1"/>
  <c r="J33" i="1"/>
  <c r="I33" i="1"/>
  <c r="H33" i="1"/>
  <c r="L33" i="1" s="1"/>
  <c r="F33" i="1"/>
  <c r="E33" i="1"/>
  <c r="D33" i="1"/>
  <c r="C33" i="1"/>
  <c r="AG28" i="1"/>
  <c r="AH28" i="1" s="1"/>
  <c r="AE28" i="1"/>
  <c r="AD28" i="1"/>
  <c r="AC28" i="1"/>
  <c r="AB28" i="1"/>
  <c r="Z28" i="1"/>
  <c r="Y28" i="1"/>
  <c r="X28" i="1"/>
  <c r="W28" i="1"/>
  <c r="U28" i="1"/>
  <c r="T28" i="1"/>
  <c r="S28" i="1"/>
  <c r="R28" i="1"/>
  <c r="P28" i="1"/>
  <c r="O28" i="1"/>
  <c r="N28" i="1"/>
  <c r="M28" i="1"/>
  <c r="K28" i="1"/>
  <c r="J28" i="1"/>
  <c r="I28" i="1"/>
  <c r="H28" i="1"/>
  <c r="F28" i="1"/>
  <c r="E28" i="1"/>
  <c r="D28" i="1"/>
  <c r="C28" i="1"/>
  <c r="AF27" i="1"/>
  <c r="AA27" i="1"/>
  <c r="V27" i="1"/>
  <c r="Q27" i="1"/>
  <c r="L27" i="1"/>
  <c r="G27" i="1"/>
  <c r="AG19" i="1"/>
  <c r="AE19" i="1"/>
  <c r="AE21" i="1" s="1"/>
  <c r="AD19" i="1"/>
  <c r="AD21" i="1" s="1"/>
  <c r="AC19" i="1"/>
  <c r="AC21" i="1" s="1"/>
  <c r="AB19" i="1"/>
  <c r="Z19" i="1"/>
  <c r="Z21" i="1" s="1"/>
  <c r="Y19" i="1"/>
  <c r="Y21" i="1" s="1"/>
  <c r="X19" i="1"/>
  <c r="X21" i="1" s="1"/>
  <c r="W19" i="1"/>
  <c r="U19" i="1"/>
  <c r="U21" i="1" s="1"/>
  <c r="T19" i="1"/>
  <c r="T21" i="1" s="1"/>
  <c r="S19" i="1"/>
  <c r="S21" i="1" s="1"/>
  <c r="R19" i="1"/>
  <c r="P19" i="1"/>
  <c r="P21" i="1" s="1"/>
  <c r="O19" i="1"/>
  <c r="O21" i="1" s="1"/>
  <c r="N19" i="1"/>
  <c r="N21" i="1" s="1"/>
  <c r="M19" i="1"/>
  <c r="K19" i="1"/>
  <c r="K21" i="1" s="1"/>
  <c r="J19" i="1"/>
  <c r="J21" i="1" s="1"/>
  <c r="I19" i="1"/>
  <c r="I21" i="1" s="1"/>
  <c r="H19" i="1"/>
  <c r="F19" i="1"/>
  <c r="F21" i="1" s="1"/>
  <c r="E19" i="1"/>
  <c r="E21" i="1" s="1"/>
  <c r="D19" i="1"/>
  <c r="D21" i="1" s="1"/>
  <c r="C19" i="1"/>
  <c r="AG17" i="1"/>
  <c r="AE17" i="1"/>
  <c r="AD17" i="1"/>
  <c r="AC17" i="1"/>
  <c r="AB17" i="1"/>
  <c r="Z17" i="1"/>
  <c r="Y17" i="1"/>
  <c r="X17" i="1"/>
  <c r="W17" i="1"/>
  <c r="U17" i="1"/>
  <c r="T17" i="1"/>
  <c r="S17" i="1"/>
  <c r="R17" i="1"/>
  <c r="P17" i="1"/>
  <c r="O17" i="1"/>
  <c r="N17" i="1"/>
  <c r="M17" i="1"/>
  <c r="K17" i="1"/>
  <c r="J17" i="1"/>
  <c r="I17" i="1"/>
  <c r="H17" i="1"/>
  <c r="AF16" i="1"/>
  <c r="AA16" i="1"/>
  <c r="V16" i="1"/>
  <c r="Q16" i="1"/>
  <c r="L16" i="1"/>
  <c r="G16" i="1"/>
  <c r="AK6" i="1"/>
  <c r="AF6" i="1"/>
  <c r="AA6" i="1"/>
  <c r="V6" i="1"/>
  <c r="Q6" i="1"/>
  <c r="L6" i="1"/>
  <c r="G6" i="1"/>
  <c r="P241" i="1" l="1"/>
  <c r="O241" i="1"/>
  <c r="N241" i="1"/>
  <c r="I241" i="1"/>
  <c r="M241" i="1"/>
  <c r="K380" i="1"/>
  <c r="J380" i="1"/>
  <c r="I380" i="1"/>
  <c r="H380" i="1"/>
  <c r="G240" i="1"/>
  <c r="AG380" i="1"/>
  <c r="AE380" i="1"/>
  <c r="AD380" i="1"/>
  <c r="AC380" i="1"/>
  <c r="AB380" i="1"/>
  <c r="Z380" i="1"/>
  <c r="Y380" i="1"/>
  <c r="X380" i="1"/>
  <c r="W380" i="1"/>
  <c r="U380" i="1"/>
  <c r="T380" i="1"/>
  <c r="S380" i="1"/>
  <c r="R380" i="1"/>
  <c r="P380" i="1"/>
  <c r="P238" i="1"/>
  <c r="O380" i="1"/>
  <c r="O238" i="1"/>
  <c r="N380" i="1"/>
  <c r="N238" i="1"/>
  <c r="M380" i="1"/>
  <c r="M238" i="1"/>
  <c r="AE241" i="1"/>
  <c r="AD241" i="1"/>
  <c r="AB241" i="1"/>
  <c r="Y241" i="1"/>
  <c r="W241" i="1"/>
  <c r="T241" i="1"/>
  <c r="R241" i="1"/>
  <c r="AG241" i="1"/>
  <c r="AC241" i="1"/>
  <c r="Z241" i="1"/>
  <c r="X241" i="1"/>
  <c r="U241" i="1"/>
  <c r="S241" i="1"/>
  <c r="G33" i="1"/>
  <c r="Q342" i="1"/>
  <c r="L342" i="1"/>
  <c r="G342" i="1"/>
  <c r="AH159" i="1"/>
  <c r="AA491" i="1"/>
  <c r="V342" i="1"/>
  <c r="AF96" i="1"/>
  <c r="AK519" i="1"/>
  <c r="AK489" i="1"/>
  <c r="AK495" i="1" s="1"/>
  <c r="D7" i="4"/>
  <c r="I7" i="4"/>
  <c r="I5" i="4"/>
  <c r="F287" i="1"/>
  <c r="AG94" i="1"/>
  <c r="AE94" i="1"/>
  <c r="AD94" i="1"/>
  <c r="AC94" i="1"/>
  <c r="AB94" i="1"/>
  <c r="AF94" i="1" s="1"/>
  <c r="Z94" i="1"/>
  <c r="W94" i="1"/>
  <c r="U94" i="1"/>
  <c r="T94" i="1"/>
  <c r="S94" i="1"/>
  <c r="R94" i="1"/>
  <c r="V94" i="1" s="1"/>
  <c r="P94" i="1"/>
  <c r="M94" i="1"/>
  <c r="K94" i="1"/>
  <c r="J94" i="1"/>
  <c r="I94" i="1"/>
  <c r="K283" i="1"/>
  <c r="AE273" i="1"/>
  <c r="AD273" i="1"/>
  <c r="AE260" i="1"/>
  <c r="AE257" i="1"/>
  <c r="AD257" i="1"/>
  <c r="AC257" i="1"/>
  <c r="V219" i="1"/>
  <c r="AD125" i="1"/>
  <c r="AC125" i="1"/>
  <c r="AB125" i="1"/>
  <c r="Y125" i="1"/>
  <c r="X125" i="1"/>
  <c r="W125" i="1"/>
  <c r="T125" i="1"/>
  <c r="S125" i="1"/>
  <c r="R125" i="1"/>
  <c r="O125" i="1"/>
  <c r="N125" i="1"/>
  <c r="M125" i="1"/>
  <c r="J125" i="1"/>
  <c r="I125" i="1"/>
  <c r="H125" i="1"/>
  <c r="E125" i="1"/>
  <c r="D125" i="1"/>
  <c r="C125" i="1"/>
  <c r="F13" i="4"/>
  <c r="U283" i="1"/>
  <c r="AD263" i="1"/>
  <c r="X94" i="1"/>
  <c r="O94" i="1"/>
  <c r="P263" i="1"/>
  <c r="AD260" i="1"/>
  <c r="T257" i="1"/>
  <c r="T283" i="1"/>
  <c r="AC273" i="1"/>
  <c r="N94" i="1"/>
  <c r="Q94" i="1" s="1"/>
  <c r="AE263" i="1"/>
  <c r="Y94" i="1"/>
  <c r="AC263" i="1"/>
  <c r="AO339" i="1"/>
  <c r="AO326" i="1"/>
  <c r="AN325" i="1"/>
  <c r="AN330" i="1"/>
  <c r="AO331" i="1"/>
  <c r="AN76" i="1"/>
  <c r="AO129" i="1"/>
  <c r="AN143" i="1"/>
  <c r="C520" i="1"/>
  <c r="C24" i="1" s="1"/>
  <c r="C489" i="1"/>
  <c r="C495" i="1" s="1"/>
  <c r="C522" i="1" s="1"/>
  <c r="AF519" i="1"/>
  <c r="AF489" i="1"/>
  <c r="AF495" i="1" s="1"/>
  <c r="V519" i="1"/>
  <c r="V489" i="1"/>
  <c r="V495" i="1" s="1"/>
  <c r="V522" i="1" s="1"/>
  <c r="Q519" i="1"/>
  <c r="Q489" i="1"/>
  <c r="Q495" i="1" s="1"/>
  <c r="Q522" i="1" s="1"/>
  <c r="L519" i="1"/>
  <c r="L489" i="1"/>
  <c r="L495" i="1" s="1"/>
  <c r="L522" i="1" s="1"/>
  <c r="G519" i="1"/>
  <c r="G489" i="1"/>
  <c r="G495" i="1" s="1"/>
  <c r="G522" i="1" s="1"/>
  <c r="H94" i="1"/>
  <c r="L94" i="1" s="1"/>
  <c r="F94" i="1"/>
  <c r="AA127" i="1"/>
  <c r="Z125" i="1"/>
  <c r="AA125" i="1" s="1"/>
  <c r="V127" i="1"/>
  <c r="U125" i="1"/>
  <c r="V125" i="1" s="1"/>
  <c r="Q127" i="1"/>
  <c r="P125" i="1"/>
  <c r="Q125" i="1" s="1"/>
  <c r="L127" i="1"/>
  <c r="K125" i="1"/>
  <c r="L125" i="1" s="1"/>
  <c r="G127" i="1"/>
  <c r="F125" i="1"/>
  <c r="G125" i="1" s="1"/>
  <c r="AI160" i="1"/>
  <c r="N335" i="1"/>
  <c r="N336" i="1" s="1"/>
  <c r="D335" i="1"/>
  <c r="D336" i="1" s="1"/>
  <c r="Z283" i="1"/>
  <c r="S283" i="1"/>
  <c r="Y273" i="1"/>
  <c r="O273" i="1"/>
  <c r="I273" i="1"/>
  <c r="Z263" i="1"/>
  <c r="O263" i="1"/>
  <c r="Z260" i="1"/>
  <c r="S260" i="1"/>
  <c r="K260" i="1"/>
  <c r="P257" i="1"/>
  <c r="J238" i="1"/>
  <c r="G28" i="1"/>
  <c r="AE191" i="1"/>
  <c r="AD191" i="1"/>
  <c r="AC191" i="1"/>
  <c r="Z191" i="1"/>
  <c r="Y191" i="1"/>
  <c r="X191" i="1"/>
  <c r="U191" i="1"/>
  <c r="T191" i="1"/>
  <c r="S191" i="1"/>
  <c r="P191" i="1"/>
  <c r="O191" i="1"/>
  <c r="N191" i="1"/>
  <c r="K191" i="1"/>
  <c r="J191" i="1"/>
  <c r="I191" i="1"/>
  <c r="F191" i="1"/>
  <c r="E191" i="1"/>
  <c r="D191" i="1"/>
  <c r="S335" i="1"/>
  <c r="S336" i="1" s="1"/>
  <c r="J335" i="1"/>
  <c r="J336" i="1" s="1"/>
  <c r="AD283" i="1"/>
  <c r="Y283" i="1"/>
  <c r="Z273" i="1"/>
  <c r="S273" i="1"/>
  <c r="Y263" i="1"/>
  <c r="S263" i="1"/>
  <c r="J263" i="1"/>
  <c r="Y260" i="1"/>
  <c r="P260" i="1"/>
  <c r="O257" i="1"/>
  <c r="I257" i="1"/>
  <c r="K238" i="1"/>
  <c r="V28" i="1"/>
  <c r="P335" i="1"/>
  <c r="P336" i="1" s="1"/>
  <c r="F335" i="1"/>
  <c r="F336" i="1" s="1"/>
  <c r="O283" i="1"/>
  <c r="T273" i="1"/>
  <c r="N273" i="1"/>
  <c r="X263" i="1"/>
  <c r="N263" i="1"/>
  <c r="AC260" i="1"/>
  <c r="U260" i="1"/>
  <c r="N260" i="1"/>
  <c r="J260" i="1"/>
  <c r="U257" i="1"/>
  <c r="AA28" i="1"/>
  <c r="U335" i="1"/>
  <c r="U336" i="1" s="1"/>
  <c r="K335" i="1"/>
  <c r="K336" i="1" s="1"/>
  <c r="J283" i="1"/>
  <c r="X273" i="1"/>
  <c r="P273" i="1"/>
  <c r="T263" i="1"/>
  <c r="K263" i="1"/>
  <c r="X260" i="1"/>
  <c r="T260" i="1"/>
  <c r="Y257" i="1"/>
  <c r="K257" i="1"/>
  <c r="L28" i="1"/>
  <c r="T335" i="1"/>
  <c r="T336" i="1" s="1"/>
  <c r="E335" i="1"/>
  <c r="E336" i="1" s="1"/>
  <c r="AG335" i="1"/>
  <c r="AE283" i="1"/>
  <c r="P283" i="1"/>
  <c r="U273" i="1"/>
  <c r="J273" i="1"/>
  <c r="U263" i="1"/>
  <c r="I263" i="1"/>
  <c r="O260" i="1"/>
  <c r="I260" i="1"/>
  <c r="X257" i="1"/>
  <c r="S257" i="1"/>
  <c r="J257" i="1"/>
  <c r="J241" i="1"/>
  <c r="I238" i="1"/>
  <c r="AF28" i="1"/>
  <c r="O335" i="1"/>
  <c r="O336" i="1" s="1"/>
  <c r="I335" i="1"/>
  <c r="I336" i="1" s="1"/>
  <c r="AB335" i="1"/>
  <c r="AB336" i="1" s="1"/>
  <c r="AC283" i="1"/>
  <c r="X283" i="1"/>
  <c r="N283" i="1"/>
  <c r="I283" i="1"/>
  <c r="K273" i="1"/>
  <c r="Z257" i="1"/>
  <c r="N257" i="1"/>
  <c r="K241" i="1"/>
  <c r="Q28" i="1"/>
  <c r="V333" i="1"/>
  <c r="R364" i="1"/>
  <c r="Q333" i="1"/>
  <c r="M364" i="1"/>
  <c r="L333" i="1"/>
  <c r="H364" i="1"/>
  <c r="G333" i="1"/>
  <c r="C364" i="1"/>
  <c r="G323" i="1"/>
  <c r="G338" i="1" s="1"/>
  <c r="G339" i="1" s="1"/>
  <c r="C338" i="1"/>
  <c r="C339" i="1" s="1"/>
  <c r="AC341" i="1"/>
  <c r="AC342" i="1"/>
  <c r="X342" i="1"/>
  <c r="X341" i="1"/>
  <c r="E117" i="1"/>
  <c r="E114" i="1" s="1"/>
  <c r="E94" i="1"/>
  <c r="D117" i="1"/>
  <c r="D94" i="1"/>
  <c r="G94" i="1" s="1"/>
  <c r="O13" i="1"/>
  <c r="O14" i="1" s="1"/>
  <c r="O11" i="1"/>
  <c r="AG511" i="1"/>
  <c r="AG520" i="1" s="1"/>
  <c r="AG24" i="1" s="1"/>
  <c r="AG513" i="1"/>
  <c r="AD513" i="1"/>
  <c r="AD511" i="1"/>
  <c r="AD520" i="1" s="1"/>
  <c r="AD24" i="1" s="1"/>
  <c r="AC513" i="1"/>
  <c r="AC511" i="1"/>
  <c r="AC520" i="1" s="1"/>
  <c r="AC24" i="1" s="1"/>
  <c r="AB511" i="1"/>
  <c r="AB520" i="1" s="1"/>
  <c r="AB24" i="1" s="1"/>
  <c r="AB513" i="1"/>
  <c r="Z513" i="1"/>
  <c r="Z511" i="1"/>
  <c r="Z520" i="1" s="1"/>
  <c r="Z24" i="1" s="1"/>
  <c r="Y513" i="1"/>
  <c r="Y511" i="1"/>
  <c r="Y520" i="1" s="1"/>
  <c r="Y24" i="1" s="1"/>
  <c r="X513" i="1"/>
  <c r="X511" i="1"/>
  <c r="X520" i="1" s="1"/>
  <c r="X24" i="1" s="1"/>
  <c r="W513" i="1"/>
  <c r="W511" i="1"/>
  <c r="W520" i="1" s="1"/>
  <c r="W24" i="1" s="1"/>
  <c r="U513" i="1"/>
  <c r="U511" i="1"/>
  <c r="U520" i="1" s="1"/>
  <c r="U24" i="1" s="1"/>
  <c r="T511" i="1"/>
  <c r="T520" i="1" s="1"/>
  <c r="T24" i="1" s="1"/>
  <c r="T513" i="1"/>
  <c r="S513" i="1"/>
  <c r="S511" i="1"/>
  <c r="S520" i="1" s="1"/>
  <c r="S24" i="1" s="1"/>
  <c r="R513" i="1"/>
  <c r="R511" i="1"/>
  <c r="R520" i="1" s="1"/>
  <c r="R24" i="1" s="1"/>
  <c r="P513" i="1"/>
  <c r="P511" i="1"/>
  <c r="P520" i="1" s="1"/>
  <c r="P24" i="1" s="1"/>
  <c r="O513" i="1"/>
  <c r="O511" i="1"/>
  <c r="O520" i="1" s="1"/>
  <c r="O24" i="1" s="1"/>
  <c r="N513" i="1"/>
  <c r="N511" i="1"/>
  <c r="N520" i="1" s="1"/>
  <c r="N24" i="1" s="1"/>
  <c r="M513" i="1"/>
  <c r="M511" i="1"/>
  <c r="M520" i="1" s="1"/>
  <c r="M24" i="1" s="1"/>
  <c r="K513" i="1"/>
  <c r="K511" i="1"/>
  <c r="K520" i="1" s="1"/>
  <c r="K24" i="1" s="1"/>
  <c r="J513" i="1"/>
  <c r="J511" i="1"/>
  <c r="J520" i="1" s="1"/>
  <c r="J24" i="1" s="1"/>
  <c r="I513" i="1"/>
  <c r="I511" i="1"/>
  <c r="I520" i="1" s="1"/>
  <c r="I24" i="1" s="1"/>
  <c r="H511" i="1"/>
  <c r="H520" i="1" s="1"/>
  <c r="H24" i="1" s="1"/>
  <c r="H513" i="1"/>
  <c r="F511" i="1"/>
  <c r="F520" i="1" s="1"/>
  <c r="F24" i="1" s="1"/>
  <c r="F513" i="1"/>
  <c r="E511" i="1"/>
  <c r="E520" i="1" s="1"/>
  <c r="E24" i="1" s="1"/>
  <c r="E513" i="1"/>
  <c r="D511" i="1"/>
  <c r="D520" i="1" s="1"/>
  <c r="D24" i="1" s="1"/>
  <c r="D513" i="1"/>
  <c r="AK511" i="1"/>
  <c r="AK520" i="1" s="1"/>
  <c r="AK513" i="1"/>
  <c r="AE509" i="1"/>
  <c r="AF499" i="1"/>
  <c r="AA511" i="1"/>
  <c r="AA513" i="1"/>
  <c r="V511" i="1"/>
  <c r="V520" i="1" s="1"/>
  <c r="V513" i="1"/>
  <c r="Q511" i="1"/>
  <c r="Q520" i="1" s="1"/>
  <c r="Q513" i="1"/>
  <c r="L513" i="1"/>
  <c r="L511" i="1"/>
  <c r="L520" i="1" s="1"/>
  <c r="G511" i="1"/>
  <c r="G520" i="1" s="1"/>
  <c r="G513" i="1"/>
  <c r="G517" i="1" s="1"/>
  <c r="AA520" i="1"/>
  <c r="AA489" i="1"/>
  <c r="AA495" i="1" s="1"/>
  <c r="AA522" i="1" s="1"/>
  <c r="AG25" i="1"/>
  <c r="AH25" i="1" s="1"/>
  <c r="AB25" i="1"/>
  <c r="AA24" i="1"/>
  <c r="AA25" i="1" s="1"/>
  <c r="W25" i="1"/>
  <c r="V24" i="1"/>
  <c r="V25" i="1" s="1"/>
  <c r="R25" i="1"/>
  <c r="Q24" i="1"/>
  <c r="Q25" i="1" s="1"/>
  <c r="M25" i="1"/>
  <c r="L24" i="1"/>
  <c r="L25" i="1" s="1"/>
  <c r="H25" i="1"/>
  <c r="G24" i="1"/>
  <c r="G25" i="1" s="1"/>
  <c r="C25" i="1"/>
  <c r="AH481" i="1"/>
  <c r="AG461" i="1"/>
  <c r="AG462" i="1"/>
  <c r="AE461" i="1"/>
  <c r="AE462" i="1"/>
  <c r="AD462" i="1"/>
  <c r="AD461" i="1"/>
  <c r="AC461" i="1"/>
  <c r="AC462" i="1"/>
  <c r="AB461" i="1"/>
  <c r="AB462" i="1"/>
  <c r="AF460" i="1"/>
  <c r="Z461" i="1"/>
  <c r="Z462" i="1"/>
  <c r="Y462" i="1"/>
  <c r="Y461" i="1"/>
  <c r="X461" i="1"/>
  <c r="X462" i="1"/>
  <c r="W462" i="1"/>
  <c r="AA460" i="1"/>
  <c r="W461" i="1"/>
  <c r="U461" i="1"/>
  <c r="U462" i="1"/>
  <c r="T462" i="1"/>
  <c r="T461" i="1"/>
  <c r="S461" i="1"/>
  <c r="S462" i="1"/>
  <c r="R461" i="1"/>
  <c r="R462" i="1"/>
  <c r="V460" i="1"/>
  <c r="P462" i="1"/>
  <c r="P461" i="1"/>
  <c r="O462" i="1"/>
  <c r="O461" i="1"/>
  <c r="N461" i="1"/>
  <c r="N462" i="1"/>
  <c r="M462" i="1"/>
  <c r="Q460" i="1"/>
  <c r="M461" i="1"/>
  <c r="K462" i="1"/>
  <c r="K461" i="1"/>
  <c r="J462" i="1"/>
  <c r="J461" i="1"/>
  <c r="I461" i="1"/>
  <c r="I462" i="1"/>
  <c r="H461" i="1"/>
  <c r="H462" i="1"/>
  <c r="L460" i="1"/>
  <c r="F462" i="1"/>
  <c r="F461" i="1"/>
  <c r="E462" i="1"/>
  <c r="E461" i="1"/>
  <c r="D461" i="1"/>
  <c r="D462" i="1"/>
  <c r="C461" i="1"/>
  <c r="G460" i="1"/>
  <c r="G461" i="1" s="1"/>
  <c r="AG458" i="1"/>
  <c r="AF457" i="1"/>
  <c r="AF458" i="1" s="1"/>
  <c r="AB458" i="1"/>
  <c r="W458" i="1"/>
  <c r="AA457" i="1"/>
  <c r="AA458" i="1" s="1"/>
  <c r="R458" i="1"/>
  <c r="V457" i="1"/>
  <c r="V458" i="1" s="1"/>
  <c r="M458" i="1"/>
  <c r="Q457" i="1"/>
  <c r="Q458" i="1" s="1"/>
  <c r="L457" i="1"/>
  <c r="L458" i="1" s="1"/>
  <c r="H458" i="1"/>
  <c r="G457" i="1"/>
  <c r="G458" i="1" s="1"/>
  <c r="C458" i="1"/>
  <c r="AG464" i="1"/>
  <c r="AG452" i="1"/>
  <c r="AG465" i="1" s="1"/>
  <c r="AH460" i="1"/>
  <c r="AE464" i="1"/>
  <c r="AF447" i="1"/>
  <c r="AF464" i="1" s="1"/>
  <c r="AE452" i="1"/>
  <c r="AD464" i="1"/>
  <c r="AD452" i="1"/>
  <c r="AD465" i="1" s="1"/>
  <c r="AC464" i="1"/>
  <c r="AC452" i="1"/>
  <c r="AC465" i="1" s="1"/>
  <c r="AB464" i="1"/>
  <c r="AB452" i="1"/>
  <c r="AB465" i="1" s="1"/>
  <c r="Z464" i="1"/>
  <c r="AA447" i="1"/>
  <c r="AA464" i="1" s="1"/>
  <c r="Z452" i="1"/>
  <c r="Y452" i="1"/>
  <c r="Y465" i="1" s="1"/>
  <c r="Y464" i="1"/>
  <c r="X452" i="1"/>
  <c r="X465" i="1" s="1"/>
  <c r="X464" i="1"/>
  <c r="W464" i="1"/>
  <c r="W452" i="1"/>
  <c r="W465" i="1" s="1"/>
  <c r="U452" i="1"/>
  <c r="U464" i="1"/>
  <c r="V447" i="1"/>
  <c r="V464" i="1" s="1"/>
  <c r="T464" i="1"/>
  <c r="T452" i="1"/>
  <c r="T465" i="1" s="1"/>
  <c r="S464" i="1"/>
  <c r="S452" i="1"/>
  <c r="S465" i="1" s="1"/>
  <c r="R452" i="1"/>
  <c r="R465" i="1" s="1"/>
  <c r="R464" i="1"/>
  <c r="Q447" i="1"/>
  <c r="Q464" i="1" s="1"/>
  <c r="P452" i="1"/>
  <c r="P464" i="1"/>
  <c r="O464" i="1"/>
  <c r="O452" i="1"/>
  <c r="O465" i="1" s="1"/>
  <c r="N464" i="1"/>
  <c r="N452" i="1"/>
  <c r="N465" i="1" s="1"/>
  <c r="M452" i="1"/>
  <c r="M465" i="1" s="1"/>
  <c r="M464" i="1"/>
  <c r="L447" i="1"/>
  <c r="L464" i="1" s="1"/>
  <c r="K464" i="1"/>
  <c r="K452" i="1"/>
  <c r="J464" i="1"/>
  <c r="J452" i="1"/>
  <c r="J465" i="1" s="1"/>
  <c r="I464" i="1"/>
  <c r="I452" i="1"/>
  <c r="I465" i="1" s="1"/>
  <c r="H464" i="1"/>
  <c r="H452" i="1"/>
  <c r="H465" i="1" s="1"/>
  <c r="F452" i="1"/>
  <c r="F464" i="1"/>
  <c r="G447" i="1"/>
  <c r="E464" i="1"/>
  <c r="E452" i="1"/>
  <c r="E465" i="1" s="1"/>
  <c r="D452" i="1"/>
  <c r="D465" i="1" s="1"/>
  <c r="D464" i="1"/>
  <c r="AG440" i="1"/>
  <c r="AH440" i="1" s="1"/>
  <c r="AG439" i="1"/>
  <c r="AE440" i="1"/>
  <c r="AE439" i="1"/>
  <c r="AD440" i="1"/>
  <c r="AD439" i="1"/>
  <c r="AC439" i="1"/>
  <c r="AC440" i="1"/>
  <c r="AB440" i="1"/>
  <c r="AB439" i="1"/>
  <c r="AF438" i="1"/>
  <c r="Z439" i="1"/>
  <c r="Z440" i="1"/>
  <c r="Y439" i="1"/>
  <c r="Y440" i="1"/>
  <c r="X439" i="1"/>
  <c r="X440" i="1"/>
  <c r="AA438" i="1"/>
  <c r="W439" i="1"/>
  <c r="W440" i="1"/>
  <c r="U440" i="1"/>
  <c r="U439" i="1"/>
  <c r="T440" i="1"/>
  <c r="T439" i="1"/>
  <c r="S439" i="1"/>
  <c r="S440" i="1"/>
  <c r="R439" i="1"/>
  <c r="V438" i="1"/>
  <c r="R440" i="1"/>
  <c r="P440" i="1"/>
  <c r="P439" i="1"/>
  <c r="O439" i="1"/>
  <c r="O440" i="1"/>
  <c r="N439" i="1"/>
  <c r="N440" i="1"/>
  <c r="M439" i="1"/>
  <c r="Q438" i="1"/>
  <c r="M440" i="1"/>
  <c r="K439" i="1"/>
  <c r="K440" i="1"/>
  <c r="J439" i="1"/>
  <c r="J440" i="1"/>
  <c r="I439" i="1"/>
  <c r="I440" i="1"/>
  <c r="H440" i="1"/>
  <c r="H439" i="1"/>
  <c r="L438" i="1"/>
  <c r="F440" i="1"/>
  <c r="F439" i="1"/>
  <c r="E439" i="1"/>
  <c r="E440" i="1"/>
  <c r="D439" i="1"/>
  <c r="D440" i="1"/>
  <c r="C439" i="1"/>
  <c r="G438" i="1"/>
  <c r="G439" i="1" s="1"/>
  <c r="AG436" i="1"/>
  <c r="AB436" i="1"/>
  <c r="AF435" i="1"/>
  <c r="AF436" i="1" s="1"/>
  <c r="W436" i="1"/>
  <c r="AA435" i="1"/>
  <c r="AA436" i="1" s="1"/>
  <c r="R436" i="1"/>
  <c r="V435" i="1"/>
  <c r="V436" i="1" s="1"/>
  <c r="Q435" i="1"/>
  <c r="Q436" i="1" s="1"/>
  <c r="M436" i="1"/>
  <c r="H436" i="1"/>
  <c r="L435" i="1"/>
  <c r="L436" i="1" s="1"/>
  <c r="G435" i="1"/>
  <c r="G436" i="1" s="1"/>
  <c r="C436" i="1"/>
  <c r="AG426" i="1"/>
  <c r="AG443" i="1" s="1"/>
  <c r="AG442" i="1"/>
  <c r="AF421" i="1"/>
  <c r="AF442" i="1" s="1"/>
  <c r="AE426" i="1"/>
  <c r="AE442" i="1"/>
  <c r="AD426" i="1"/>
  <c r="AD443" i="1" s="1"/>
  <c r="AD442" i="1"/>
  <c r="AC442" i="1"/>
  <c r="AC426" i="1"/>
  <c r="AC443" i="1" s="1"/>
  <c r="AB442" i="1"/>
  <c r="AB426" i="1"/>
  <c r="AB443" i="1" s="1"/>
  <c r="Z442" i="1"/>
  <c r="AA421" i="1"/>
  <c r="AA442" i="1" s="1"/>
  <c r="Z426" i="1"/>
  <c r="Y426" i="1"/>
  <c r="Y443" i="1" s="1"/>
  <c r="Y442" i="1"/>
  <c r="X442" i="1"/>
  <c r="X426" i="1"/>
  <c r="X443" i="1" s="1"/>
  <c r="W442" i="1"/>
  <c r="W426" i="1"/>
  <c r="W443" i="1" s="1"/>
  <c r="U442" i="1"/>
  <c r="V421" i="1"/>
  <c r="V442" i="1" s="1"/>
  <c r="U426" i="1"/>
  <c r="T442" i="1"/>
  <c r="T426" i="1"/>
  <c r="T443" i="1" s="1"/>
  <c r="S426" i="1"/>
  <c r="S443" i="1" s="1"/>
  <c r="S442" i="1"/>
  <c r="R442" i="1"/>
  <c r="R426" i="1"/>
  <c r="R443" i="1" s="1"/>
  <c r="P442" i="1"/>
  <c r="P426" i="1"/>
  <c r="Q421" i="1"/>
  <c r="Q442" i="1" s="1"/>
  <c r="O426" i="1"/>
  <c r="O443" i="1" s="1"/>
  <c r="O442" i="1"/>
  <c r="N426" i="1"/>
  <c r="N443" i="1" s="1"/>
  <c r="N442" i="1"/>
  <c r="M426" i="1"/>
  <c r="M443" i="1" s="1"/>
  <c r="M442" i="1"/>
  <c r="L421" i="1"/>
  <c r="L442" i="1" s="1"/>
  <c r="K426" i="1"/>
  <c r="K442" i="1"/>
  <c r="J426" i="1"/>
  <c r="J443" i="1" s="1"/>
  <c r="J442" i="1"/>
  <c r="I426" i="1"/>
  <c r="I443" i="1" s="1"/>
  <c r="I442" i="1"/>
  <c r="H426" i="1"/>
  <c r="H443" i="1" s="1"/>
  <c r="H442" i="1"/>
  <c r="G421" i="1"/>
  <c r="F426" i="1"/>
  <c r="F442" i="1"/>
  <c r="E426" i="1"/>
  <c r="E443" i="1" s="1"/>
  <c r="E442" i="1"/>
  <c r="D426" i="1"/>
  <c r="D443" i="1" s="1"/>
  <c r="D442" i="1"/>
  <c r="AG392" i="1"/>
  <c r="AE392" i="1"/>
  <c r="AD392" i="1"/>
  <c r="AC392" i="1"/>
  <c r="AG416" i="1"/>
  <c r="AG417" i="1" s="1"/>
  <c r="AE416" i="1"/>
  <c r="AB392" i="1"/>
  <c r="AF391" i="1"/>
  <c r="AF392" i="1" s="1"/>
  <c r="AD416" i="1"/>
  <c r="AD417" i="1" s="1"/>
  <c r="Z392" i="1"/>
  <c r="Y392" i="1"/>
  <c r="AC416" i="1"/>
  <c r="AC417" i="1" s="1"/>
  <c r="X392" i="1"/>
  <c r="AB416" i="1"/>
  <c r="AB417" i="1" s="1"/>
  <c r="W392" i="1"/>
  <c r="Z416" i="1"/>
  <c r="AA391" i="1"/>
  <c r="AA392" i="1" s="1"/>
  <c r="Y416" i="1"/>
  <c r="Y417" i="1" s="1"/>
  <c r="U392" i="1"/>
  <c r="X416" i="1"/>
  <c r="X417" i="1" s="1"/>
  <c r="T392" i="1"/>
  <c r="S392" i="1"/>
  <c r="W416" i="1"/>
  <c r="W417" i="1" s="1"/>
  <c r="U416" i="1"/>
  <c r="R392" i="1"/>
  <c r="V391" i="1"/>
  <c r="V392" i="1" s="1"/>
  <c r="T416" i="1"/>
  <c r="T417" i="1" s="1"/>
  <c r="P392" i="1"/>
  <c r="S416" i="1"/>
  <c r="S417" i="1" s="1"/>
  <c r="O392" i="1"/>
  <c r="N392" i="1"/>
  <c r="R416" i="1"/>
  <c r="R417" i="1" s="1"/>
  <c r="M392" i="1"/>
  <c r="Q391" i="1"/>
  <c r="Q392" i="1" s="1"/>
  <c r="P416" i="1"/>
  <c r="O416" i="1"/>
  <c r="O417" i="1" s="1"/>
  <c r="K392" i="1"/>
  <c r="N416" i="1"/>
  <c r="N417" i="1" s="1"/>
  <c r="J392" i="1"/>
  <c r="I392" i="1"/>
  <c r="M416" i="1"/>
  <c r="M417" i="1" s="1"/>
  <c r="H392" i="1"/>
  <c r="K416" i="1"/>
  <c r="L391" i="1"/>
  <c r="L392" i="1" s="1"/>
  <c r="F392" i="1"/>
  <c r="J416" i="1"/>
  <c r="J417" i="1" s="1"/>
  <c r="I416" i="1"/>
  <c r="I417" i="1" s="1"/>
  <c r="E392" i="1"/>
  <c r="D392" i="1"/>
  <c r="H416" i="1"/>
  <c r="H417" i="1" s="1"/>
  <c r="G391" i="1"/>
  <c r="G392" i="1" s="1"/>
  <c r="C392" i="1"/>
  <c r="AG388" i="1"/>
  <c r="AE388" i="1"/>
  <c r="AD388" i="1"/>
  <c r="AG412" i="1"/>
  <c r="AC388" i="1"/>
  <c r="AF387" i="1"/>
  <c r="AF388" i="1" s="1"/>
  <c r="AE412" i="1"/>
  <c r="AB388" i="1"/>
  <c r="AD412" i="1"/>
  <c r="Z388" i="1"/>
  <c r="Y388" i="1"/>
  <c r="AC412" i="1"/>
  <c r="X388" i="1"/>
  <c r="AB412" i="1"/>
  <c r="AA387" i="1"/>
  <c r="AA388" i="1" s="1"/>
  <c r="W388" i="1"/>
  <c r="Z412" i="1"/>
  <c r="Y412" i="1"/>
  <c r="U388" i="1"/>
  <c r="T388" i="1"/>
  <c r="X412" i="1"/>
  <c r="W412" i="1"/>
  <c r="S388" i="1"/>
  <c r="V387" i="1"/>
  <c r="V388" i="1" s="1"/>
  <c r="R388" i="1"/>
  <c r="U412" i="1"/>
  <c r="T412" i="1"/>
  <c r="P388" i="1"/>
  <c r="O388" i="1"/>
  <c r="S412" i="1"/>
  <c r="R412" i="1"/>
  <c r="N388" i="1"/>
  <c r="M388" i="1"/>
  <c r="P412" i="1"/>
  <c r="Q387" i="1"/>
  <c r="Q388" i="1" s="1"/>
  <c r="O412" i="1"/>
  <c r="K388" i="1"/>
  <c r="N412" i="1"/>
  <c r="J388" i="1"/>
  <c r="M412" i="1"/>
  <c r="I388" i="1"/>
  <c r="H388" i="1"/>
  <c r="L387" i="1"/>
  <c r="L388" i="1" s="1"/>
  <c r="K412" i="1"/>
  <c r="J412" i="1"/>
  <c r="F388" i="1"/>
  <c r="E388" i="1"/>
  <c r="I412" i="1"/>
  <c r="D388" i="1"/>
  <c r="H412" i="1"/>
  <c r="G387" i="1"/>
  <c r="G388" i="1" s="1"/>
  <c r="AC382" i="1"/>
  <c r="AD381" i="1"/>
  <c r="AD377" i="1" s="1"/>
  <c r="AD384" i="1" s="1"/>
  <c r="AG374" i="1"/>
  <c r="AE95" i="1"/>
  <c r="AE375" i="1"/>
  <c r="AD95" i="1"/>
  <c r="AD375" i="1"/>
  <c r="AG399" i="1"/>
  <c r="AG400" i="1" s="1"/>
  <c r="AC375" i="1"/>
  <c r="AC95" i="1"/>
  <c r="AB374" i="1"/>
  <c r="AF371" i="1"/>
  <c r="Z375" i="1"/>
  <c r="Z95" i="1"/>
  <c r="AD399" i="1"/>
  <c r="AD400" i="1" s="1"/>
  <c r="Y95" i="1"/>
  <c r="Y375" i="1"/>
  <c r="AC399" i="1"/>
  <c r="AC400" i="1" s="1"/>
  <c r="AB399" i="1"/>
  <c r="AB400" i="1" s="1"/>
  <c r="X375" i="1"/>
  <c r="X95" i="1"/>
  <c r="AA371" i="1"/>
  <c r="W374" i="1"/>
  <c r="U375" i="1"/>
  <c r="Y399" i="1"/>
  <c r="Y400" i="1" s="1"/>
  <c r="U95" i="1"/>
  <c r="T375" i="1"/>
  <c r="T95" i="1"/>
  <c r="X399" i="1"/>
  <c r="X400" i="1" s="1"/>
  <c r="S375" i="1"/>
  <c r="W399" i="1"/>
  <c r="W400" i="1" s="1"/>
  <c r="S95" i="1"/>
  <c r="R374" i="1"/>
  <c r="V371" i="1"/>
  <c r="P95" i="1"/>
  <c r="T399" i="1"/>
  <c r="T400" i="1" s="1"/>
  <c r="P375" i="1"/>
  <c r="O95" i="1"/>
  <c r="O375" i="1"/>
  <c r="S399" i="1"/>
  <c r="S400" i="1" s="1"/>
  <c r="N375" i="1"/>
  <c r="N95" i="1"/>
  <c r="R399" i="1"/>
  <c r="R400" i="1" s="1"/>
  <c r="Q371" i="1"/>
  <c r="M374" i="1"/>
  <c r="K95" i="1"/>
  <c r="K375" i="1"/>
  <c r="O399" i="1"/>
  <c r="O400" i="1" s="1"/>
  <c r="J95" i="1"/>
  <c r="N399" i="1"/>
  <c r="N400" i="1" s="1"/>
  <c r="J375" i="1"/>
  <c r="I95" i="1"/>
  <c r="I375" i="1"/>
  <c r="M399" i="1"/>
  <c r="M400" i="1" s="1"/>
  <c r="H374" i="1"/>
  <c r="L371" i="1"/>
  <c r="F95" i="1"/>
  <c r="J399" i="1"/>
  <c r="J400" i="1" s="1"/>
  <c r="F375" i="1"/>
  <c r="E95" i="1"/>
  <c r="E375" i="1"/>
  <c r="I399" i="1"/>
  <c r="I400" i="1" s="1"/>
  <c r="D375" i="1"/>
  <c r="H399" i="1"/>
  <c r="H400" i="1" s="1"/>
  <c r="D95" i="1"/>
  <c r="G95" i="1" s="1"/>
  <c r="C374" i="1"/>
  <c r="G371" i="1"/>
  <c r="AG369" i="1"/>
  <c r="AE369" i="1"/>
  <c r="AD369" i="1"/>
  <c r="AG396" i="1"/>
  <c r="AG397" i="1" s="1"/>
  <c r="AC369" i="1"/>
  <c r="AB369" i="1"/>
  <c r="AF368" i="1"/>
  <c r="AF369" i="1" s="1"/>
  <c r="AE396" i="1"/>
  <c r="AD396" i="1"/>
  <c r="AD397" i="1" s="1"/>
  <c r="Z369" i="1"/>
  <c r="AC396" i="1"/>
  <c r="AC397" i="1" s="1"/>
  <c r="Y369" i="1"/>
  <c r="AB396" i="1"/>
  <c r="AB397" i="1" s="1"/>
  <c r="X369" i="1"/>
  <c r="Z396" i="1"/>
  <c r="AA368" i="1"/>
  <c r="AA369" i="1" s="1"/>
  <c r="W369" i="1"/>
  <c r="Y396" i="1"/>
  <c r="Y397" i="1" s="1"/>
  <c r="U369" i="1"/>
  <c r="X396" i="1"/>
  <c r="X397" i="1" s="1"/>
  <c r="T369" i="1"/>
  <c r="W396" i="1"/>
  <c r="W397" i="1" s="1"/>
  <c r="S369" i="1"/>
  <c r="V368" i="1"/>
  <c r="V369" i="1" s="1"/>
  <c r="U396" i="1"/>
  <c r="R369" i="1"/>
  <c r="P369" i="1"/>
  <c r="T396" i="1"/>
  <c r="T397" i="1" s="1"/>
  <c r="O369" i="1"/>
  <c r="S396" i="1"/>
  <c r="S397" i="1" s="1"/>
  <c r="N369" i="1"/>
  <c r="R396" i="1"/>
  <c r="R397" i="1" s="1"/>
  <c r="Q368" i="1"/>
  <c r="Q369" i="1" s="1"/>
  <c r="M369" i="1"/>
  <c r="P396" i="1"/>
  <c r="K369" i="1"/>
  <c r="O396" i="1"/>
  <c r="O397" i="1" s="1"/>
  <c r="J369" i="1"/>
  <c r="N396" i="1"/>
  <c r="N397" i="1" s="1"/>
  <c r="I369" i="1"/>
  <c r="M396" i="1"/>
  <c r="M397" i="1" s="1"/>
  <c r="H369" i="1"/>
  <c r="L368" i="1"/>
  <c r="L369" i="1" s="1"/>
  <c r="K396" i="1"/>
  <c r="J396" i="1"/>
  <c r="J397" i="1" s="1"/>
  <c r="F369" i="1"/>
  <c r="E369" i="1"/>
  <c r="I396" i="1"/>
  <c r="I397" i="1" s="1"/>
  <c r="D369" i="1"/>
  <c r="H396" i="1"/>
  <c r="H397" i="1" s="1"/>
  <c r="C369" i="1"/>
  <c r="G368" i="1"/>
  <c r="G369" i="1" s="1"/>
  <c r="AG97" i="1"/>
  <c r="AE97" i="1"/>
  <c r="AD97" i="1"/>
  <c r="AC97" i="1"/>
  <c r="AB97" i="1"/>
  <c r="AF97" i="1" s="1"/>
  <c r="AF363" i="1"/>
  <c r="Z97" i="1"/>
  <c r="Y97" i="1"/>
  <c r="X97" i="1"/>
  <c r="AA363" i="1"/>
  <c r="W97" i="1"/>
  <c r="AA97" i="1" s="1"/>
  <c r="U97" i="1"/>
  <c r="T97" i="1"/>
  <c r="S97" i="1"/>
  <c r="V363" i="1"/>
  <c r="R97" i="1"/>
  <c r="V97" i="1" s="1"/>
  <c r="P97" i="1"/>
  <c r="O97" i="1"/>
  <c r="N97" i="1"/>
  <c r="Q363" i="1"/>
  <c r="M97" i="1"/>
  <c r="Q97" i="1" s="1"/>
  <c r="K97" i="1"/>
  <c r="J97" i="1"/>
  <c r="I97" i="1"/>
  <c r="H97" i="1"/>
  <c r="L97" i="1" s="1"/>
  <c r="L363" i="1"/>
  <c r="F97" i="1"/>
  <c r="E97" i="1"/>
  <c r="D97" i="1"/>
  <c r="G97" i="1" s="1"/>
  <c r="G363" i="1"/>
  <c r="V360" i="1"/>
  <c r="W334" i="1"/>
  <c r="W335" i="1" s="1"/>
  <c r="W336" i="1" s="1"/>
  <c r="V334" i="1"/>
  <c r="R334" i="1"/>
  <c r="R335" i="1" s="1"/>
  <c r="R336" i="1" s="1"/>
  <c r="Q360" i="1"/>
  <c r="L360" i="1"/>
  <c r="Q334" i="1"/>
  <c r="M334" i="1"/>
  <c r="M335" i="1" s="1"/>
  <c r="M336" i="1" s="1"/>
  <c r="G360" i="1"/>
  <c r="L334" i="1"/>
  <c r="H334" i="1"/>
  <c r="H335" i="1" s="1"/>
  <c r="H336" i="1" s="1"/>
  <c r="AG516" i="1"/>
  <c r="AG352" i="1"/>
  <c r="AH352" i="1" s="1"/>
  <c r="AE516" i="1"/>
  <c r="AE352" i="1"/>
  <c r="AD516" i="1"/>
  <c r="AD352" i="1"/>
  <c r="AC516" i="1"/>
  <c r="AC352" i="1"/>
  <c r="AB516" i="1"/>
  <c r="AF351" i="1"/>
  <c r="AB352" i="1"/>
  <c r="Z516" i="1"/>
  <c r="Z352" i="1"/>
  <c r="Y352" i="1"/>
  <c r="Y516" i="1"/>
  <c r="X516" i="1"/>
  <c r="X352" i="1"/>
  <c r="W352" i="1"/>
  <c r="AA351" i="1"/>
  <c r="W516" i="1"/>
  <c r="U516" i="1"/>
  <c r="U352" i="1"/>
  <c r="T352" i="1"/>
  <c r="T516" i="1"/>
  <c r="S516" i="1"/>
  <c r="S352" i="1"/>
  <c r="R516" i="1"/>
  <c r="V351" i="1"/>
  <c r="R352" i="1"/>
  <c r="P352" i="1"/>
  <c r="P516" i="1"/>
  <c r="O352" i="1"/>
  <c r="O516" i="1"/>
  <c r="N352" i="1"/>
  <c r="N516" i="1"/>
  <c r="M352" i="1"/>
  <c r="M516" i="1"/>
  <c r="Q351" i="1"/>
  <c r="L352" i="1"/>
  <c r="L516" i="1"/>
  <c r="K516" i="1"/>
  <c r="K352" i="1"/>
  <c r="J516" i="1"/>
  <c r="J352" i="1"/>
  <c r="I516" i="1"/>
  <c r="I352" i="1"/>
  <c r="H516" i="1"/>
  <c r="H352" i="1"/>
  <c r="F516" i="1"/>
  <c r="F352" i="1"/>
  <c r="E516" i="1"/>
  <c r="E352" i="1"/>
  <c r="D516" i="1"/>
  <c r="D352" i="1"/>
  <c r="AG354" i="1"/>
  <c r="AG350" i="1"/>
  <c r="AH346" i="1"/>
  <c r="AG347" i="1"/>
  <c r="AE350" i="1"/>
  <c r="AE347" i="1"/>
  <c r="AE354" i="1"/>
  <c r="AF346" i="1"/>
  <c r="AF354" i="1" s="1"/>
  <c r="AD350" i="1"/>
  <c r="AD347" i="1"/>
  <c r="AD354" i="1"/>
  <c r="AC347" i="1"/>
  <c r="AC354" i="1"/>
  <c r="AC350" i="1"/>
  <c r="AB354" i="1"/>
  <c r="AB350" i="1"/>
  <c r="AB347" i="1"/>
  <c r="AA346" i="1"/>
  <c r="AA354" i="1" s="1"/>
  <c r="Z354" i="1"/>
  <c r="Z350" i="1"/>
  <c r="Z347" i="1"/>
  <c r="Y350" i="1"/>
  <c r="Y354" i="1"/>
  <c r="Y347" i="1"/>
  <c r="X347" i="1"/>
  <c r="X350" i="1"/>
  <c r="X354" i="1"/>
  <c r="W354" i="1"/>
  <c r="W347" i="1"/>
  <c r="W350" i="1"/>
  <c r="AA350" i="1" s="1"/>
  <c r="V346" i="1"/>
  <c r="V354" i="1" s="1"/>
  <c r="U350" i="1"/>
  <c r="U354" i="1"/>
  <c r="U347" i="1"/>
  <c r="T347" i="1"/>
  <c r="T354" i="1"/>
  <c r="T350" i="1"/>
  <c r="S350" i="1"/>
  <c r="S347" i="1"/>
  <c r="S354" i="1"/>
  <c r="R350" i="1"/>
  <c r="V350" i="1" s="1"/>
  <c r="R347" i="1"/>
  <c r="R354" i="1"/>
  <c r="Q346" i="1"/>
  <c r="Q354" i="1" s="1"/>
  <c r="P354" i="1"/>
  <c r="P347" i="1"/>
  <c r="P350" i="1"/>
  <c r="O354" i="1"/>
  <c r="O347" i="1"/>
  <c r="O350" i="1"/>
  <c r="N350" i="1"/>
  <c r="N347" i="1"/>
  <c r="N354" i="1"/>
  <c r="M347" i="1"/>
  <c r="M354" i="1"/>
  <c r="M350" i="1"/>
  <c r="Q350" i="1" s="1"/>
  <c r="K354" i="1"/>
  <c r="K350" i="1"/>
  <c r="L346" i="1"/>
  <c r="L354" i="1" s="1"/>
  <c r="K347" i="1"/>
  <c r="J350" i="1"/>
  <c r="J354" i="1"/>
  <c r="J347" i="1"/>
  <c r="I347" i="1"/>
  <c r="I354" i="1"/>
  <c r="I350" i="1"/>
  <c r="H350" i="1"/>
  <c r="L350" i="1" s="1"/>
  <c r="H347" i="1"/>
  <c r="H354" i="1"/>
  <c r="F350" i="1"/>
  <c r="G346" i="1"/>
  <c r="G354" i="1" s="1"/>
  <c r="F354" i="1"/>
  <c r="F347" i="1"/>
  <c r="G347" i="1" s="1"/>
  <c r="E350" i="1"/>
  <c r="E354" i="1"/>
  <c r="E347" i="1"/>
  <c r="D347" i="1"/>
  <c r="D350" i="1"/>
  <c r="G350" i="1" s="1"/>
  <c r="D354" i="1"/>
  <c r="C347" i="1"/>
  <c r="C354" i="1"/>
  <c r="AF328" i="1"/>
  <c r="AA328" i="1"/>
  <c r="V328" i="1"/>
  <c r="Q328" i="1"/>
  <c r="L328" i="1"/>
  <c r="V323" i="1"/>
  <c r="Q323" i="1"/>
  <c r="L323" i="1"/>
  <c r="AD321" i="1"/>
  <c r="Y321" i="1"/>
  <c r="AD320" i="1"/>
  <c r="AE320" i="1" s="1"/>
  <c r="AF320" i="1" s="1"/>
  <c r="Y320" i="1"/>
  <c r="Z320" i="1" s="1"/>
  <c r="AA320" i="1" s="1"/>
  <c r="AD319" i="1"/>
  <c r="AE319" i="1" s="1"/>
  <c r="AF319" i="1" s="1"/>
  <c r="Y319" i="1"/>
  <c r="Z319" i="1" s="1"/>
  <c r="AA319" i="1" s="1"/>
  <c r="AD318" i="1"/>
  <c r="AC333" i="1"/>
  <c r="Y318" i="1"/>
  <c r="X333" i="1"/>
  <c r="AD314" i="1"/>
  <c r="Y314" i="1"/>
  <c r="AD313" i="1"/>
  <c r="Y313" i="1"/>
  <c r="Z313" i="1" s="1"/>
  <c r="AA313" i="1" s="1"/>
  <c r="AD312" i="1"/>
  <c r="Y312" i="1"/>
  <c r="Z312" i="1" s="1"/>
  <c r="AA312" i="1" s="1"/>
  <c r="AD311" i="1"/>
  <c r="AC323" i="1"/>
  <c r="X323" i="1"/>
  <c r="Y311" i="1"/>
  <c r="AE304" i="1"/>
  <c r="AF303" i="1"/>
  <c r="AA303" i="1"/>
  <c r="Z304" i="1"/>
  <c r="AA304" i="1" s="1"/>
  <c r="V303" i="1"/>
  <c r="U304" i="1"/>
  <c r="V304" i="1" s="1"/>
  <c r="Q303" i="1"/>
  <c r="P304" i="1"/>
  <c r="Q304" i="1" s="1"/>
  <c r="L303" i="1"/>
  <c r="K304" i="1"/>
  <c r="L304" i="1" s="1"/>
  <c r="G303" i="1"/>
  <c r="F304" i="1"/>
  <c r="G304" i="1" s="1"/>
  <c r="AF300" i="1"/>
  <c r="AE301" i="1"/>
  <c r="Z301" i="1"/>
  <c r="AA301" i="1" s="1"/>
  <c r="AA300" i="1"/>
  <c r="U301" i="1"/>
  <c r="V301" i="1" s="1"/>
  <c r="V300" i="1"/>
  <c r="Q300" i="1"/>
  <c r="P301" i="1"/>
  <c r="Q301" i="1" s="1"/>
  <c r="K301" i="1"/>
  <c r="L301" i="1" s="1"/>
  <c r="L300" i="1"/>
  <c r="F301" i="1"/>
  <c r="G301" i="1" s="1"/>
  <c r="G300" i="1"/>
  <c r="AF297" i="1"/>
  <c r="AE298" i="1"/>
  <c r="Z298" i="1"/>
  <c r="AA298" i="1" s="1"/>
  <c r="AA297" i="1"/>
  <c r="U298" i="1"/>
  <c r="V298" i="1" s="1"/>
  <c r="V297" i="1"/>
  <c r="Q297" i="1"/>
  <c r="P298" i="1"/>
  <c r="Q298" i="1" s="1"/>
  <c r="L297" i="1"/>
  <c r="K298" i="1"/>
  <c r="L298" i="1" s="1"/>
  <c r="F298" i="1"/>
  <c r="G298" i="1" s="1"/>
  <c r="G297" i="1"/>
  <c r="AF294" i="1"/>
  <c r="AE295" i="1"/>
  <c r="Z295" i="1"/>
  <c r="AA295" i="1" s="1"/>
  <c r="AA294" i="1"/>
  <c r="U295" i="1"/>
  <c r="V295" i="1" s="1"/>
  <c r="V294" i="1"/>
  <c r="Q294" i="1"/>
  <c r="P295" i="1"/>
  <c r="Q295" i="1" s="1"/>
  <c r="K295" i="1"/>
  <c r="L295" i="1" s="1"/>
  <c r="L294" i="1"/>
  <c r="F295" i="1"/>
  <c r="G295" i="1" s="1"/>
  <c r="G294" i="1"/>
  <c r="AF291" i="1"/>
  <c r="AE292" i="1"/>
  <c r="AA291" i="1"/>
  <c r="Z292" i="1"/>
  <c r="AA292" i="1" s="1"/>
  <c r="U292" i="1"/>
  <c r="V292" i="1" s="1"/>
  <c r="V291" i="1"/>
  <c r="P292" i="1"/>
  <c r="Q292" i="1" s="1"/>
  <c r="Q291" i="1"/>
  <c r="L291" i="1"/>
  <c r="K292" i="1"/>
  <c r="L292" i="1" s="1"/>
  <c r="G291" i="1"/>
  <c r="F292" i="1"/>
  <c r="G292" i="1" s="1"/>
  <c r="AG289" i="1"/>
  <c r="AG117" i="1"/>
  <c r="AG114" i="1" s="1"/>
  <c r="AG288" i="1"/>
  <c r="AE288" i="1"/>
  <c r="AF288" i="1" s="1"/>
  <c r="AF287" i="1"/>
  <c r="AE117" i="1"/>
  <c r="AE289" i="1"/>
  <c r="AF289" i="1" s="1"/>
  <c r="AD289" i="1"/>
  <c r="AD117" i="1"/>
  <c r="AD114" i="1" s="1"/>
  <c r="AD288" i="1"/>
  <c r="AC289" i="1"/>
  <c r="AC117" i="1"/>
  <c r="AC114" i="1" s="1"/>
  <c r="AC288" i="1"/>
  <c r="AB289" i="1"/>
  <c r="AB117" i="1"/>
  <c r="AB114" i="1" s="1"/>
  <c r="AB288" i="1"/>
  <c r="Z289" i="1"/>
  <c r="AA289" i="1" s="1"/>
  <c r="Z117" i="1"/>
  <c r="AA287" i="1"/>
  <c r="Z288" i="1"/>
  <c r="AA288" i="1" s="1"/>
  <c r="Y289" i="1"/>
  <c r="Y117" i="1"/>
  <c r="Y114" i="1" s="1"/>
  <c r="Y288" i="1"/>
  <c r="X289" i="1"/>
  <c r="X288" i="1"/>
  <c r="X117" i="1"/>
  <c r="X114" i="1" s="1"/>
  <c r="W289" i="1"/>
  <c r="W117" i="1"/>
  <c r="W114" i="1" s="1"/>
  <c r="W288" i="1"/>
  <c r="U289" i="1"/>
  <c r="V289" i="1" s="1"/>
  <c r="V287" i="1"/>
  <c r="U117" i="1"/>
  <c r="U288" i="1"/>
  <c r="V288" i="1" s="1"/>
  <c r="T289" i="1"/>
  <c r="T288" i="1"/>
  <c r="T117" i="1"/>
  <c r="T114" i="1" s="1"/>
  <c r="S117" i="1"/>
  <c r="S114" i="1" s="1"/>
  <c r="S288" i="1"/>
  <c r="S289" i="1"/>
  <c r="R117" i="1"/>
  <c r="R114" i="1" s="1"/>
  <c r="R289" i="1"/>
  <c r="R288" i="1"/>
  <c r="P117" i="1"/>
  <c r="P288" i="1"/>
  <c r="Q288" i="1" s="1"/>
  <c r="Q287" i="1"/>
  <c r="P289" i="1"/>
  <c r="Q289" i="1" s="1"/>
  <c r="O117" i="1"/>
  <c r="O114" i="1" s="1"/>
  <c r="O289" i="1"/>
  <c r="O288" i="1"/>
  <c r="N117" i="1"/>
  <c r="N114" i="1" s="1"/>
  <c r="N288" i="1"/>
  <c r="N289" i="1"/>
  <c r="M117" i="1"/>
  <c r="M114" i="1" s="1"/>
  <c r="M288" i="1"/>
  <c r="M289" i="1"/>
  <c r="L287" i="1"/>
  <c r="K288" i="1"/>
  <c r="L288" i="1" s="1"/>
  <c r="K117" i="1"/>
  <c r="K289" i="1"/>
  <c r="L289" i="1" s="1"/>
  <c r="J288" i="1"/>
  <c r="J117" i="1"/>
  <c r="J114" i="1" s="1"/>
  <c r="J289" i="1"/>
  <c r="I288" i="1"/>
  <c r="I117" i="1"/>
  <c r="I114" i="1" s="1"/>
  <c r="I289" i="1"/>
  <c r="H288" i="1"/>
  <c r="H117" i="1"/>
  <c r="H114" i="1" s="1"/>
  <c r="H289" i="1"/>
  <c r="C114" i="1"/>
  <c r="AG283" i="1"/>
  <c r="AB283" i="1"/>
  <c r="AF282" i="1"/>
  <c r="AF283" i="1" s="1"/>
  <c r="W283" i="1"/>
  <c r="AA282" i="1"/>
  <c r="AA283" i="1" s="1"/>
  <c r="R283" i="1"/>
  <c r="V282" i="1"/>
  <c r="V283" i="1" s="1"/>
  <c r="M283" i="1"/>
  <c r="Q282" i="1"/>
  <c r="Q283" i="1" s="1"/>
  <c r="L282" i="1"/>
  <c r="L283" i="1" s="1"/>
  <c r="H283" i="1"/>
  <c r="AG278" i="1"/>
  <c r="AG280" i="1"/>
  <c r="AH280" i="1" s="1"/>
  <c r="AG279" i="1"/>
  <c r="AE278" i="1"/>
  <c r="AE279" i="1"/>
  <c r="AE280" i="1"/>
  <c r="AD278" i="1"/>
  <c r="AD279" i="1"/>
  <c r="AD280" i="1"/>
  <c r="AC279" i="1"/>
  <c r="AC280" i="1"/>
  <c r="AC278" i="1"/>
  <c r="AF277" i="1"/>
  <c r="AB278" i="1"/>
  <c r="AB279" i="1"/>
  <c r="AB280" i="1"/>
  <c r="Z278" i="1"/>
  <c r="Z279" i="1"/>
  <c r="Z280" i="1"/>
  <c r="Y280" i="1"/>
  <c r="Y278" i="1"/>
  <c r="Y279" i="1"/>
  <c r="X279" i="1"/>
  <c r="X278" i="1"/>
  <c r="X280" i="1"/>
  <c r="AA277" i="1"/>
  <c r="W278" i="1"/>
  <c r="W280" i="1"/>
  <c r="W279" i="1"/>
  <c r="U278" i="1"/>
  <c r="U280" i="1"/>
  <c r="U279" i="1"/>
  <c r="T278" i="1"/>
  <c r="T280" i="1"/>
  <c r="T279" i="1"/>
  <c r="S280" i="1"/>
  <c r="S278" i="1"/>
  <c r="S279" i="1"/>
  <c r="V277" i="1"/>
  <c r="R280" i="1"/>
  <c r="R279" i="1"/>
  <c r="R278" i="1"/>
  <c r="P280" i="1"/>
  <c r="P279" i="1"/>
  <c r="P278" i="1"/>
  <c r="O280" i="1"/>
  <c r="O279" i="1"/>
  <c r="O278" i="1"/>
  <c r="N280" i="1"/>
  <c r="N279" i="1"/>
  <c r="N278" i="1"/>
  <c r="M280" i="1"/>
  <c r="Q277" i="1"/>
  <c r="M279" i="1"/>
  <c r="M278" i="1"/>
  <c r="K280" i="1"/>
  <c r="K278" i="1"/>
  <c r="K279" i="1"/>
  <c r="J280" i="1"/>
  <c r="J279" i="1"/>
  <c r="J278" i="1"/>
  <c r="I280" i="1"/>
  <c r="I278" i="1"/>
  <c r="I279" i="1"/>
  <c r="H280" i="1"/>
  <c r="L277" i="1"/>
  <c r="H279" i="1"/>
  <c r="H278" i="1"/>
  <c r="F280" i="1"/>
  <c r="F279" i="1"/>
  <c r="E280" i="1"/>
  <c r="E279" i="1"/>
  <c r="D280" i="1"/>
  <c r="D279" i="1"/>
  <c r="C280" i="1"/>
  <c r="G277" i="1"/>
  <c r="C279" i="1"/>
  <c r="AG273" i="1"/>
  <c r="AF272" i="1"/>
  <c r="AF273" i="1" s="1"/>
  <c r="AB273" i="1"/>
  <c r="AA272" i="1"/>
  <c r="AA273" i="1" s="1"/>
  <c r="W273" i="1"/>
  <c r="V272" i="1"/>
  <c r="V273" i="1" s="1"/>
  <c r="R273" i="1"/>
  <c r="Q272" i="1"/>
  <c r="Q273" i="1" s="1"/>
  <c r="M273" i="1"/>
  <c r="L272" i="1"/>
  <c r="L273" i="1" s="1"/>
  <c r="H273" i="1"/>
  <c r="AG270" i="1"/>
  <c r="AH270" i="1" s="1"/>
  <c r="AG269" i="1"/>
  <c r="AG268" i="1"/>
  <c r="AE270" i="1"/>
  <c r="AE269" i="1"/>
  <c r="AE268" i="1"/>
  <c r="AD270" i="1"/>
  <c r="AD269" i="1"/>
  <c r="AD268" i="1"/>
  <c r="AC270" i="1"/>
  <c r="AC269" i="1"/>
  <c r="AC268" i="1"/>
  <c r="AF267" i="1"/>
  <c r="AB270" i="1"/>
  <c r="AB269" i="1"/>
  <c r="AB268" i="1"/>
  <c r="Z268" i="1"/>
  <c r="Z270" i="1"/>
  <c r="Z269" i="1"/>
  <c r="Y270" i="1"/>
  <c r="Y269" i="1"/>
  <c r="Y268" i="1"/>
  <c r="X268" i="1"/>
  <c r="X269" i="1"/>
  <c r="X270" i="1"/>
  <c r="AA267" i="1"/>
  <c r="W268" i="1"/>
  <c r="W270" i="1"/>
  <c r="W269" i="1"/>
  <c r="U270" i="1"/>
  <c r="U269" i="1"/>
  <c r="U268" i="1"/>
  <c r="T269" i="1"/>
  <c r="T268" i="1"/>
  <c r="T270" i="1"/>
  <c r="S269" i="1"/>
  <c r="S268" i="1"/>
  <c r="S270" i="1"/>
  <c r="V267" i="1"/>
  <c r="R269" i="1"/>
  <c r="R268" i="1"/>
  <c r="R270" i="1"/>
  <c r="P269" i="1"/>
  <c r="P268" i="1"/>
  <c r="P270" i="1"/>
  <c r="O269" i="1"/>
  <c r="O268" i="1"/>
  <c r="O270" i="1"/>
  <c r="N268" i="1"/>
  <c r="N269" i="1"/>
  <c r="N270" i="1"/>
  <c r="M268" i="1"/>
  <c r="M269" i="1"/>
  <c r="Q267" i="1"/>
  <c r="M270" i="1"/>
  <c r="K270" i="1"/>
  <c r="K268" i="1"/>
  <c r="K269" i="1"/>
  <c r="J270" i="1"/>
  <c r="J269" i="1"/>
  <c r="J268" i="1"/>
  <c r="I270" i="1"/>
  <c r="I268" i="1"/>
  <c r="I269" i="1"/>
  <c r="H270" i="1"/>
  <c r="H269" i="1"/>
  <c r="H268" i="1"/>
  <c r="L267" i="1"/>
  <c r="F270" i="1"/>
  <c r="F269" i="1"/>
  <c r="E270" i="1"/>
  <c r="E269" i="1"/>
  <c r="D270" i="1"/>
  <c r="D269" i="1"/>
  <c r="C269" i="1"/>
  <c r="G267" i="1"/>
  <c r="C270" i="1"/>
  <c r="AG263" i="1"/>
  <c r="AB263" i="1"/>
  <c r="AF262" i="1"/>
  <c r="AF263" i="1" s="1"/>
  <c r="W263" i="1"/>
  <c r="AA262" i="1"/>
  <c r="AA263" i="1" s="1"/>
  <c r="V262" i="1"/>
  <c r="V263" i="1" s="1"/>
  <c r="R263" i="1"/>
  <c r="M263" i="1"/>
  <c r="Q262" i="1"/>
  <c r="Q263" i="1" s="1"/>
  <c r="L262" i="1"/>
  <c r="L263" i="1" s="1"/>
  <c r="H263" i="1"/>
  <c r="AG260" i="1"/>
  <c r="AF259" i="1"/>
  <c r="AF260" i="1" s="1"/>
  <c r="AB260" i="1"/>
  <c r="AA259" i="1"/>
  <c r="AA260" i="1" s="1"/>
  <c r="W260" i="1"/>
  <c r="V259" i="1"/>
  <c r="V260" i="1" s="1"/>
  <c r="R260" i="1"/>
  <c r="M260" i="1"/>
  <c r="Q259" i="1"/>
  <c r="Q260" i="1" s="1"/>
  <c r="H260" i="1"/>
  <c r="L259" i="1"/>
  <c r="L260" i="1" s="1"/>
  <c r="AG257" i="1"/>
  <c r="AF256" i="1"/>
  <c r="AF257" i="1" s="1"/>
  <c r="AB257" i="1"/>
  <c r="AA256" i="1"/>
  <c r="AA257" i="1" s="1"/>
  <c r="W257" i="1"/>
  <c r="V256" i="1"/>
  <c r="V257" i="1" s="1"/>
  <c r="R257" i="1"/>
  <c r="Q256" i="1"/>
  <c r="Q257" i="1" s="1"/>
  <c r="M257" i="1"/>
  <c r="L256" i="1"/>
  <c r="L257" i="1" s="1"/>
  <c r="H257" i="1"/>
  <c r="AG254" i="1"/>
  <c r="AG252" i="1"/>
  <c r="AG253" i="1"/>
  <c r="AE254" i="1"/>
  <c r="AE253" i="1"/>
  <c r="AJ253" i="1" s="1"/>
  <c r="AE251" i="1"/>
  <c r="AE252" i="1"/>
  <c r="AD251" i="1"/>
  <c r="AD254" i="1"/>
  <c r="AD253" i="1"/>
  <c r="AI253" i="1" s="1"/>
  <c r="AD252" i="1"/>
  <c r="AC254" i="1"/>
  <c r="AC253" i="1"/>
  <c r="AH253" i="1" s="1"/>
  <c r="AC252" i="1"/>
  <c r="AC251" i="1"/>
  <c r="Z252" i="1"/>
  <c r="Z253" i="1"/>
  <c r="Z251" i="1"/>
  <c r="Z254" i="1"/>
  <c r="Y252" i="1"/>
  <c r="Y253" i="1"/>
  <c r="Y254" i="1"/>
  <c r="Y251" i="1"/>
  <c r="X254" i="1"/>
  <c r="X252" i="1"/>
  <c r="X253" i="1"/>
  <c r="X251" i="1"/>
  <c r="W253" i="1"/>
  <c r="W254" i="1"/>
  <c r="AA250" i="1"/>
  <c r="W252" i="1"/>
  <c r="W251" i="1"/>
  <c r="U254" i="1"/>
  <c r="U251" i="1"/>
  <c r="U252" i="1"/>
  <c r="U253" i="1"/>
  <c r="T254" i="1"/>
  <c r="T251" i="1"/>
  <c r="T252" i="1"/>
  <c r="T253" i="1"/>
  <c r="S251" i="1"/>
  <c r="S252" i="1"/>
  <c r="S253" i="1"/>
  <c r="S254" i="1"/>
  <c r="R253" i="1"/>
  <c r="R251" i="1"/>
  <c r="V250" i="1"/>
  <c r="R254" i="1"/>
  <c r="R252" i="1"/>
  <c r="P252" i="1"/>
  <c r="P251" i="1"/>
  <c r="P253" i="1"/>
  <c r="P254" i="1"/>
  <c r="O251" i="1"/>
  <c r="O253" i="1"/>
  <c r="O252" i="1"/>
  <c r="O254" i="1"/>
  <c r="N252" i="1"/>
  <c r="N251" i="1"/>
  <c r="N253" i="1"/>
  <c r="N254" i="1"/>
  <c r="Q250" i="1"/>
  <c r="M252" i="1"/>
  <c r="M251" i="1"/>
  <c r="M253" i="1"/>
  <c r="M254" i="1"/>
  <c r="K251" i="1"/>
  <c r="K254" i="1"/>
  <c r="K252" i="1"/>
  <c r="K253" i="1"/>
  <c r="J253" i="1"/>
  <c r="J251" i="1"/>
  <c r="J254" i="1"/>
  <c r="J252" i="1"/>
  <c r="I253" i="1"/>
  <c r="I254" i="1"/>
  <c r="I251" i="1"/>
  <c r="I252" i="1"/>
  <c r="H253" i="1"/>
  <c r="H254" i="1"/>
  <c r="H251" i="1"/>
  <c r="L250" i="1"/>
  <c r="H252" i="1"/>
  <c r="F254" i="1"/>
  <c r="F253" i="1"/>
  <c r="F252" i="1"/>
  <c r="E254" i="1"/>
  <c r="E252" i="1"/>
  <c r="E253" i="1"/>
  <c r="D253" i="1"/>
  <c r="D252" i="1"/>
  <c r="D254" i="1"/>
  <c r="C254" i="1"/>
  <c r="G250" i="1"/>
  <c r="C252" i="1"/>
  <c r="C253" i="1"/>
  <c r="AJ240" i="1"/>
  <c r="AI240" i="1"/>
  <c r="AJ237" i="1"/>
  <c r="AI237" i="1"/>
  <c r="AF230" i="1"/>
  <c r="AF232" i="1"/>
  <c r="AA230" i="1"/>
  <c r="AA232" i="1"/>
  <c r="V232" i="1"/>
  <c r="V230" i="1"/>
  <c r="V231" i="1"/>
  <c r="Q230" i="1"/>
  <c r="Q232" i="1"/>
  <c r="L230" i="1"/>
  <c r="L232" i="1"/>
  <c r="G232" i="1"/>
  <c r="AF226" i="1"/>
  <c r="AA226" i="1"/>
  <c r="V227" i="1"/>
  <c r="V226" i="1"/>
  <c r="Q226" i="1"/>
  <c r="L226" i="1"/>
  <c r="AF222" i="1"/>
  <c r="AA222" i="1"/>
  <c r="V222" i="1"/>
  <c r="V223" i="1"/>
  <c r="Q222" i="1"/>
  <c r="L222" i="1"/>
  <c r="AG231" i="1"/>
  <c r="AG227" i="1"/>
  <c r="AG223" i="1"/>
  <c r="AG219" i="1"/>
  <c r="AE223" i="1"/>
  <c r="AE227" i="1"/>
  <c r="AE231" i="1"/>
  <c r="AE219" i="1"/>
  <c r="AD219" i="1"/>
  <c r="AD231" i="1"/>
  <c r="AD227" i="1"/>
  <c r="AD223" i="1"/>
  <c r="AC223" i="1"/>
  <c r="AC227" i="1"/>
  <c r="AC231" i="1"/>
  <c r="AC219" i="1"/>
  <c r="AF218" i="1"/>
  <c r="AB231" i="1"/>
  <c r="AB227" i="1"/>
  <c r="AB223" i="1"/>
  <c r="AB219" i="1"/>
  <c r="Z227" i="1"/>
  <c r="Z223" i="1"/>
  <c r="Z231" i="1"/>
  <c r="Z219" i="1"/>
  <c r="Y219" i="1"/>
  <c r="Y223" i="1"/>
  <c r="Y231" i="1"/>
  <c r="Y227" i="1"/>
  <c r="X227" i="1"/>
  <c r="X231" i="1"/>
  <c r="X219" i="1"/>
  <c r="X223" i="1"/>
  <c r="W231" i="1"/>
  <c r="W227" i="1"/>
  <c r="W219" i="1"/>
  <c r="AA218" i="1"/>
  <c r="W223" i="1"/>
  <c r="U227" i="1"/>
  <c r="U219" i="1"/>
  <c r="U231" i="1"/>
  <c r="U223" i="1"/>
  <c r="T231" i="1"/>
  <c r="T227" i="1"/>
  <c r="T219" i="1"/>
  <c r="T223" i="1"/>
  <c r="S223" i="1"/>
  <c r="S219" i="1"/>
  <c r="S227" i="1"/>
  <c r="S231" i="1"/>
  <c r="R227" i="1"/>
  <c r="R223" i="1"/>
  <c r="R231" i="1"/>
  <c r="R219" i="1"/>
  <c r="P223" i="1"/>
  <c r="P219" i="1"/>
  <c r="P227" i="1"/>
  <c r="P231" i="1"/>
  <c r="O227" i="1"/>
  <c r="O223" i="1"/>
  <c r="O219" i="1"/>
  <c r="O231" i="1"/>
  <c r="N223" i="1"/>
  <c r="N231" i="1"/>
  <c r="N219" i="1"/>
  <c r="N227" i="1"/>
  <c r="M231" i="1"/>
  <c r="M227" i="1"/>
  <c r="M223" i="1"/>
  <c r="M219" i="1"/>
  <c r="Q218" i="1"/>
  <c r="K223" i="1"/>
  <c r="K227" i="1"/>
  <c r="K219" i="1"/>
  <c r="K231" i="1"/>
  <c r="J231" i="1"/>
  <c r="J223" i="1"/>
  <c r="J227" i="1"/>
  <c r="J219" i="1"/>
  <c r="I227" i="1"/>
  <c r="I231" i="1"/>
  <c r="I219" i="1"/>
  <c r="I223" i="1"/>
  <c r="H223" i="1"/>
  <c r="H231" i="1"/>
  <c r="H219" i="1"/>
  <c r="L218" i="1"/>
  <c r="H227" i="1"/>
  <c r="F227" i="1"/>
  <c r="F223" i="1"/>
  <c r="F231" i="1"/>
  <c r="E227" i="1"/>
  <c r="E223" i="1"/>
  <c r="E231" i="1"/>
  <c r="D223" i="1"/>
  <c r="D227" i="1"/>
  <c r="D231" i="1"/>
  <c r="C227" i="1"/>
  <c r="G218" i="1"/>
  <c r="G231" i="1" s="1"/>
  <c r="C223" i="1"/>
  <c r="C231" i="1"/>
  <c r="AJ211" i="1"/>
  <c r="AJ380" i="1" s="1"/>
  <c r="AI380" i="1"/>
  <c r="AI377" i="1" s="1"/>
  <c r="AJ405" i="1"/>
  <c r="AK405" i="1" s="1"/>
  <c r="AI405" i="1"/>
  <c r="AE377" i="1"/>
  <c r="AE384" i="1" s="1"/>
  <c r="AH405" i="1"/>
  <c r="AG405" i="1"/>
  <c r="AE405" i="1"/>
  <c r="AF405" i="1" s="1"/>
  <c r="AF380" i="1"/>
  <c r="AD405" i="1"/>
  <c r="AC405" i="1"/>
  <c r="AB405" i="1"/>
  <c r="AA380" i="1"/>
  <c r="Z405" i="1"/>
  <c r="AA405" i="1" s="1"/>
  <c r="Y405" i="1"/>
  <c r="X405" i="1"/>
  <c r="W405" i="1"/>
  <c r="V380" i="1"/>
  <c r="U405" i="1"/>
  <c r="V405" i="1" s="1"/>
  <c r="T405" i="1"/>
  <c r="S405" i="1"/>
  <c r="R405" i="1"/>
  <c r="K405" i="1"/>
  <c r="L405" i="1" s="1"/>
  <c r="L380" i="1"/>
  <c r="J405" i="1"/>
  <c r="I405" i="1"/>
  <c r="H405" i="1"/>
  <c r="G380" i="1"/>
  <c r="AI208" i="1"/>
  <c r="AH216" i="1"/>
  <c r="AF212" i="1"/>
  <c r="AF216" i="1"/>
  <c r="AA216" i="1"/>
  <c r="AA212" i="1"/>
  <c r="V212" i="1"/>
  <c r="V216" i="1"/>
  <c r="Q216" i="1"/>
  <c r="Q212" i="1"/>
  <c r="L212" i="1"/>
  <c r="L241" i="1" s="1"/>
  <c r="L216" i="1"/>
  <c r="AI207" i="1"/>
  <c r="AH215" i="1"/>
  <c r="AF215" i="1"/>
  <c r="AF211" i="1"/>
  <c r="AA215" i="1"/>
  <c r="AA211" i="1"/>
  <c r="V211" i="1"/>
  <c r="V215" i="1"/>
  <c r="Q211" i="1"/>
  <c r="Q215" i="1"/>
  <c r="L215" i="1"/>
  <c r="L211" i="1"/>
  <c r="L238" i="1" s="1"/>
  <c r="AH214" i="1"/>
  <c r="AH210" i="1"/>
  <c r="AG214" i="1"/>
  <c r="AG210" i="1"/>
  <c r="AE210" i="1"/>
  <c r="AF206" i="1"/>
  <c r="AE214" i="1"/>
  <c r="AD210" i="1"/>
  <c r="AD214" i="1"/>
  <c r="AC214" i="1"/>
  <c r="AC210" i="1"/>
  <c r="AB214" i="1"/>
  <c r="AB210" i="1"/>
  <c r="Z214" i="1"/>
  <c r="Z210" i="1"/>
  <c r="AA206" i="1"/>
  <c r="Y214" i="1"/>
  <c r="Y210" i="1"/>
  <c r="X214" i="1"/>
  <c r="X210" i="1"/>
  <c r="W214" i="1"/>
  <c r="W210" i="1"/>
  <c r="U214" i="1"/>
  <c r="U210" i="1"/>
  <c r="V206" i="1"/>
  <c r="T210" i="1"/>
  <c r="T214" i="1"/>
  <c r="S210" i="1"/>
  <c r="S214" i="1"/>
  <c r="R210" i="1"/>
  <c r="R214" i="1"/>
  <c r="P214" i="1"/>
  <c r="Q206" i="1"/>
  <c r="P210" i="1"/>
  <c r="O214" i="1"/>
  <c r="O210" i="1"/>
  <c r="N214" i="1"/>
  <c r="N210" i="1"/>
  <c r="M214" i="1"/>
  <c r="M210" i="1"/>
  <c r="K210" i="1"/>
  <c r="K214" i="1"/>
  <c r="L206" i="1"/>
  <c r="J214" i="1"/>
  <c r="J210" i="1"/>
  <c r="I214" i="1"/>
  <c r="I210" i="1"/>
  <c r="H210" i="1"/>
  <c r="H214" i="1"/>
  <c r="G206" i="1"/>
  <c r="F210" i="1"/>
  <c r="E210" i="1"/>
  <c r="D210" i="1"/>
  <c r="AG191" i="1"/>
  <c r="AH191" i="1" s="1"/>
  <c r="AF190" i="1"/>
  <c r="AB191" i="1"/>
  <c r="W191" i="1"/>
  <c r="AA190" i="1"/>
  <c r="R191" i="1"/>
  <c r="V190" i="1"/>
  <c r="M191" i="1"/>
  <c r="Q190" i="1"/>
  <c r="H191" i="1"/>
  <c r="L190" i="1"/>
  <c r="G190" i="1"/>
  <c r="C191" i="1"/>
  <c r="AK186" i="1"/>
  <c r="AF187" i="1"/>
  <c r="AA187" i="1"/>
  <c r="V187" i="1"/>
  <c r="Q187" i="1"/>
  <c r="L187" i="1"/>
  <c r="AF183" i="1"/>
  <c r="AA183" i="1"/>
  <c r="V183" i="1"/>
  <c r="Q183" i="1"/>
  <c r="L183" i="1"/>
  <c r="AK178" i="1"/>
  <c r="AF179" i="1"/>
  <c r="AA179" i="1"/>
  <c r="V179" i="1"/>
  <c r="Q179" i="1"/>
  <c r="L179" i="1"/>
  <c r="AF175" i="1"/>
  <c r="V175" i="1"/>
  <c r="Q175" i="1"/>
  <c r="L175" i="1"/>
  <c r="AB250" i="1"/>
  <c r="AG251" i="1" s="1"/>
  <c r="AB171" i="1"/>
  <c r="AG171" i="1"/>
  <c r="AF170" i="1"/>
  <c r="AB172" i="1"/>
  <c r="AA171" i="1"/>
  <c r="V171" i="1"/>
  <c r="Q171" i="1"/>
  <c r="L171" i="1"/>
  <c r="AG188" i="1"/>
  <c r="AG180" i="1"/>
  <c r="AG199" i="1"/>
  <c r="AG172" i="1"/>
  <c r="AG168" i="1"/>
  <c r="AG176" i="1"/>
  <c r="AG184" i="1"/>
  <c r="AE172" i="1"/>
  <c r="AE184" i="1"/>
  <c r="AE180" i="1"/>
  <c r="AE188" i="1"/>
  <c r="AE199" i="1"/>
  <c r="AE168" i="1"/>
  <c r="AE176" i="1"/>
  <c r="AD176" i="1"/>
  <c r="AD199" i="1"/>
  <c r="AD172" i="1"/>
  <c r="AD180" i="1"/>
  <c r="AD184" i="1"/>
  <c r="AD188" i="1"/>
  <c r="AD168" i="1"/>
  <c r="AC199" i="1"/>
  <c r="AC176" i="1"/>
  <c r="AC172" i="1"/>
  <c r="AC188" i="1"/>
  <c r="AC184" i="1"/>
  <c r="AC180" i="1"/>
  <c r="AC168" i="1"/>
  <c r="AB184" i="1"/>
  <c r="AB188" i="1"/>
  <c r="AB180" i="1"/>
  <c r="AB199" i="1"/>
  <c r="AB176" i="1"/>
  <c r="AB168" i="1"/>
  <c r="AF167" i="1"/>
  <c r="Z199" i="1"/>
  <c r="Z184" i="1"/>
  <c r="Z168" i="1"/>
  <c r="Z176" i="1"/>
  <c r="Z172" i="1"/>
  <c r="Z188" i="1"/>
  <c r="Z180" i="1"/>
  <c r="Y199" i="1"/>
  <c r="Y176" i="1"/>
  <c r="Y184" i="1"/>
  <c r="Y180" i="1"/>
  <c r="Y188" i="1"/>
  <c r="Y172" i="1"/>
  <c r="Y168" i="1"/>
  <c r="X172" i="1"/>
  <c r="X180" i="1"/>
  <c r="X199" i="1"/>
  <c r="X168" i="1"/>
  <c r="X176" i="1"/>
  <c r="X184" i="1"/>
  <c r="X188" i="1"/>
  <c r="W180" i="1"/>
  <c r="W172" i="1"/>
  <c r="W199" i="1"/>
  <c r="W176" i="1"/>
  <c r="W184" i="1"/>
  <c r="W168" i="1"/>
  <c r="W188" i="1"/>
  <c r="AA167" i="1"/>
  <c r="U176" i="1"/>
  <c r="U172" i="1"/>
  <c r="U168" i="1"/>
  <c r="U180" i="1"/>
  <c r="U199" i="1"/>
  <c r="U188" i="1"/>
  <c r="U184" i="1"/>
  <c r="T176" i="1"/>
  <c r="T168" i="1"/>
  <c r="T188" i="1"/>
  <c r="T184" i="1"/>
  <c r="T172" i="1"/>
  <c r="T199" i="1"/>
  <c r="T180" i="1"/>
  <c r="S176" i="1"/>
  <c r="S180" i="1"/>
  <c r="S188" i="1"/>
  <c r="S184" i="1"/>
  <c r="S168" i="1"/>
  <c r="S199" i="1"/>
  <c r="S172" i="1"/>
  <c r="V167" i="1"/>
  <c r="R172" i="1"/>
  <c r="R176" i="1"/>
  <c r="R180" i="1"/>
  <c r="R199" i="1"/>
  <c r="R168" i="1"/>
  <c r="R184" i="1"/>
  <c r="R188" i="1"/>
  <c r="P180" i="1"/>
  <c r="P172" i="1"/>
  <c r="P176" i="1"/>
  <c r="P168" i="1"/>
  <c r="P188" i="1"/>
  <c r="P199" i="1"/>
  <c r="P184" i="1"/>
  <c r="O180" i="1"/>
  <c r="O176" i="1"/>
  <c r="O184" i="1"/>
  <c r="O199" i="1"/>
  <c r="O168" i="1"/>
  <c r="O172" i="1"/>
  <c r="O188" i="1"/>
  <c r="N184" i="1"/>
  <c r="N199" i="1"/>
  <c r="N168" i="1"/>
  <c r="N188" i="1"/>
  <c r="N180" i="1"/>
  <c r="N176" i="1"/>
  <c r="N172" i="1"/>
  <c r="Q167" i="1"/>
  <c r="M188" i="1"/>
  <c r="M184" i="1"/>
  <c r="M199" i="1"/>
  <c r="M180" i="1"/>
  <c r="M168" i="1"/>
  <c r="M172" i="1"/>
  <c r="M176" i="1"/>
  <c r="K184" i="1"/>
  <c r="K180" i="1"/>
  <c r="K199" i="1"/>
  <c r="K176" i="1"/>
  <c r="K172" i="1"/>
  <c r="K188" i="1"/>
  <c r="K168" i="1"/>
  <c r="J172" i="1"/>
  <c r="J184" i="1"/>
  <c r="J199" i="1"/>
  <c r="J180" i="1"/>
  <c r="J168" i="1"/>
  <c r="J188" i="1"/>
  <c r="J176" i="1"/>
  <c r="I172" i="1"/>
  <c r="I188" i="1"/>
  <c r="I184" i="1"/>
  <c r="I176" i="1"/>
  <c r="I168" i="1"/>
  <c r="I180" i="1"/>
  <c r="I199" i="1"/>
  <c r="H180" i="1"/>
  <c r="H168" i="1"/>
  <c r="H172" i="1"/>
  <c r="H188" i="1"/>
  <c r="H199" i="1"/>
  <c r="L167" i="1"/>
  <c r="H176" i="1"/>
  <c r="H184" i="1"/>
  <c r="F172" i="1"/>
  <c r="F184" i="1"/>
  <c r="F180" i="1"/>
  <c r="F176" i="1"/>
  <c r="F188" i="1"/>
  <c r="F199" i="1"/>
  <c r="F202" i="1" s="1"/>
  <c r="E199" i="1"/>
  <c r="E202" i="1" s="1"/>
  <c r="E172" i="1"/>
  <c r="E176" i="1"/>
  <c r="E180" i="1"/>
  <c r="E184" i="1"/>
  <c r="E188" i="1"/>
  <c r="D188" i="1"/>
  <c r="D172" i="1"/>
  <c r="D199" i="1"/>
  <c r="D202" i="1" s="1"/>
  <c r="D180" i="1"/>
  <c r="D184" i="1"/>
  <c r="D176" i="1"/>
  <c r="G167" i="1"/>
  <c r="C199" i="1"/>
  <c r="C180" i="1"/>
  <c r="C176" i="1"/>
  <c r="C188" i="1"/>
  <c r="C172" i="1"/>
  <c r="C184" i="1"/>
  <c r="AG101" i="1"/>
  <c r="AE101" i="1"/>
  <c r="AD101" i="1"/>
  <c r="AC101" i="1"/>
  <c r="AB101" i="1"/>
  <c r="AF101" i="1" s="1"/>
  <c r="AF152" i="1"/>
  <c r="Z101" i="1"/>
  <c r="Y101" i="1"/>
  <c r="X101" i="1"/>
  <c r="W101" i="1"/>
  <c r="AA101" i="1" s="1"/>
  <c r="AA152" i="1"/>
  <c r="U101" i="1"/>
  <c r="T101" i="1"/>
  <c r="S101" i="1"/>
  <c r="V152" i="1"/>
  <c r="R101" i="1"/>
  <c r="V101" i="1" s="1"/>
  <c r="P101" i="1"/>
  <c r="O101" i="1"/>
  <c r="N101" i="1"/>
  <c r="Q152" i="1"/>
  <c r="M101" i="1"/>
  <c r="Q101" i="1" s="1"/>
  <c r="K101" i="1"/>
  <c r="J101" i="1"/>
  <c r="I101" i="1"/>
  <c r="H101" i="1"/>
  <c r="L101" i="1" s="1"/>
  <c r="L152" i="1"/>
  <c r="F101" i="1"/>
  <c r="E101" i="1"/>
  <c r="D101" i="1"/>
  <c r="G101" i="1" s="1"/>
  <c r="G152" i="1"/>
  <c r="AH129" i="1"/>
  <c r="AG143" i="1"/>
  <c r="AF129" i="1"/>
  <c r="AE143" i="1"/>
  <c r="AF143" i="1" s="1"/>
  <c r="AA129" i="1"/>
  <c r="Z143" i="1"/>
  <c r="AA143" i="1" s="1"/>
  <c r="V129" i="1"/>
  <c r="U143" i="1"/>
  <c r="V143" i="1" s="1"/>
  <c r="Q129" i="1"/>
  <c r="P143" i="1"/>
  <c r="Q143" i="1" s="1"/>
  <c r="K143" i="1"/>
  <c r="L143" i="1" s="1"/>
  <c r="L129" i="1"/>
  <c r="G129" i="1"/>
  <c r="F143" i="1"/>
  <c r="G143" i="1" s="1"/>
  <c r="AH329" i="1"/>
  <c r="AH328" i="1" s="1"/>
  <c r="AG142" i="1"/>
  <c r="AG141" i="1" s="1"/>
  <c r="AG329" i="1"/>
  <c r="AG330" i="1" s="1"/>
  <c r="AG331" i="1" s="1"/>
  <c r="AF128" i="1"/>
  <c r="AK329" i="1"/>
  <c r="AE142" i="1"/>
  <c r="AD142" i="1"/>
  <c r="AD141" i="1" s="1"/>
  <c r="AE329" i="1"/>
  <c r="AE330" i="1" s="1"/>
  <c r="AE331" i="1" s="1"/>
  <c r="AC142" i="1"/>
  <c r="AC141" i="1" s="1"/>
  <c r="AD329" i="1"/>
  <c r="AD330" i="1" s="1"/>
  <c r="AD331" i="1" s="1"/>
  <c r="AB142" i="1"/>
  <c r="AB141" i="1" s="1"/>
  <c r="AC329" i="1"/>
  <c r="AC330" i="1" s="1"/>
  <c r="AC331" i="1" s="1"/>
  <c r="AA128" i="1"/>
  <c r="AB329" i="1"/>
  <c r="AB330" i="1" s="1"/>
  <c r="AB331" i="1" s="1"/>
  <c r="Z142" i="1"/>
  <c r="Z329" i="1"/>
  <c r="Z330" i="1" s="1"/>
  <c r="Z331" i="1" s="1"/>
  <c r="Y142" i="1"/>
  <c r="Y141" i="1" s="1"/>
  <c r="Y329" i="1"/>
  <c r="Y330" i="1" s="1"/>
  <c r="Y331" i="1" s="1"/>
  <c r="X142" i="1"/>
  <c r="X141" i="1" s="1"/>
  <c r="X329" i="1"/>
  <c r="X330" i="1" s="1"/>
  <c r="X331" i="1" s="1"/>
  <c r="W142" i="1"/>
  <c r="W141" i="1" s="1"/>
  <c r="AA329" i="1"/>
  <c r="W329" i="1"/>
  <c r="W330" i="1" s="1"/>
  <c r="W331" i="1" s="1"/>
  <c r="U142" i="1"/>
  <c r="V128" i="1"/>
  <c r="T142" i="1"/>
  <c r="T141" i="1" s="1"/>
  <c r="U329" i="1"/>
  <c r="U330" i="1" s="1"/>
  <c r="U331" i="1" s="1"/>
  <c r="S142" i="1"/>
  <c r="S141" i="1" s="1"/>
  <c r="T329" i="1"/>
  <c r="T330" i="1" s="1"/>
  <c r="T331" i="1" s="1"/>
  <c r="R142" i="1"/>
  <c r="R141" i="1" s="1"/>
  <c r="S329" i="1"/>
  <c r="S330" i="1" s="1"/>
  <c r="S331" i="1" s="1"/>
  <c r="Q128" i="1"/>
  <c r="V329" i="1"/>
  <c r="P142" i="1"/>
  <c r="R329" i="1"/>
  <c r="R330" i="1" s="1"/>
  <c r="R331" i="1" s="1"/>
  <c r="P329" i="1"/>
  <c r="P330" i="1" s="1"/>
  <c r="P331" i="1" s="1"/>
  <c r="O142" i="1"/>
  <c r="O141" i="1" s="1"/>
  <c r="N142" i="1"/>
  <c r="N141" i="1" s="1"/>
  <c r="O329" i="1"/>
  <c r="O330" i="1" s="1"/>
  <c r="O331" i="1" s="1"/>
  <c r="M142" i="1"/>
  <c r="M141" i="1" s="1"/>
  <c r="N329" i="1"/>
  <c r="N330" i="1" s="1"/>
  <c r="N331" i="1" s="1"/>
  <c r="K142" i="1"/>
  <c r="L128" i="1"/>
  <c r="Q329" i="1"/>
  <c r="M329" i="1"/>
  <c r="M330" i="1" s="1"/>
  <c r="M331" i="1" s="1"/>
  <c r="J142" i="1"/>
  <c r="J141" i="1" s="1"/>
  <c r="K329" i="1"/>
  <c r="K330" i="1" s="1"/>
  <c r="K331" i="1" s="1"/>
  <c r="I142" i="1"/>
  <c r="I141" i="1" s="1"/>
  <c r="J329" i="1"/>
  <c r="J330" i="1" s="1"/>
  <c r="J331" i="1" s="1"/>
  <c r="H142" i="1"/>
  <c r="H141" i="1" s="1"/>
  <c r="I329" i="1"/>
  <c r="I330" i="1" s="1"/>
  <c r="I331" i="1" s="1"/>
  <c r="G128" i="1"/>
  <c r="F142" i="1"/>
  <c r="L329" i="1"/>
  <c r="H329" i="1"/>
  <c r="H330" i="1" s="1"/>
  <c r="H331" i="1" s="1"/>
  <c r="E142" i="1"/>
  <c r="E141" i="1" s="1"/>
  <c r="F329" i="1"/>
  <c r="F330" i="1" s="1"/>
  <c r="F331" i="1" s="1"/>
  <c r="D142" i="1"/>
  <c r="D141" i="1" s="1"/>
  <c r="E329" i="1"/>
  <c r="E330" i="1" s="1"/>
  <c r="E331" i="1" s="1"/>
  <c r="C142" i="1"/>
  <c r="C141" i="1" s="1"/>
  <c r="D329" i="1"/>
  <c r="D330" i="1" s="1"/>
  <c r="D331" i="1" s="1"/>
  <c r="AH126" i="1"/>
  <c r="AG140" i="1"/>
  <c r="AH324" i="1"/>
  <c r="AH323" i="1" s="1"/>
  <c r="AE140" i="1"/>
  <c r="AF140" i="1" s="1"/>
  <c r="AG324" i="1"/>
  <c r="AG325" i="1" s="1"/>
  <c r="AG326" i="1" s="1"/>
  <c r="AK324" i="1"/>
  <c r="AF126" i="1"/>
  <c r="AD140" i="1"/>
  <c r="AE324" i="1"/>
  <c r="AC140" i="1"/>
  <c r="AD324" i="1"/>
  <c r="AC324" i="1"/>
  <c r="AB140" i="1"/>
  <c r="AB324" i="1"/>
  <c r="AB325" i="1" s="1"/>
  <c r="AB326" i="1" s="1"/>
  <c r="Z140" i="1"/>
  <c r="AA140" i="1" s="1"/>
  <c r="AA126" i="1"/>
  <c r="AF324" i="1"/>
  <c r="Z324" i="1"/>
  <c r="Y140" i="1"/>
  <c r="Y324" i="1"/>
  <c r="X140" i="1"/>
  <c r="X324" i="1"/>
  <c r="W140" i="1"/>
  <c r="V126" i="1"/>
  <c r="W324" i="1"/>
  <c r="W325" i="1" s="1"/>
  <c r="W326" i="1" s="1"/>
  <c r="AA324" i="1"/>
  <c r="U140" i="1"/>
  <c r="V140" i="1" s="1"/>
  <c r="T140" i="1"/>
  <c r="U324" i="1"/>
  <c r="U325" i="1" s="1"/>
  <c r="U326" i="1" s="1"/>
  <c r="S140" i="1"/>
  <c r="T324" i="1"/>
  <c r="T325" i="1" s="1"/>
  <c r="T326" i="1" s="1"/>
  <c r="R140" i="1"/>
  <c r="S324" i="1"/>
  <c r="S325" i="1" s="1"/>
  <c r="S326" i="1" s="1"/>
  <c r="P140" i="1"/>
  <c r="Q140" i="1" s="1"/>
  <c r="Q126" i="1"/>
  <c r="V324" i="1"/>
  <c r="R324" i="1"/>
  <c r="R325" i="1" s="1"/>
  <c r="R326" i="1" s="1"/>
  <c r="O140" i="1"/>
  <c r="P324" i="1"/>
  <c r="P325" i="1" s="1"/>
  <c r="P326" i="1" s="1"/>
  <c r="N140" i="1"/>
  <c r="O324" i="1"/>
  <c r="O325" i="1" s="1"/>
  <c r="O326" i="1" s="1"/>
  <c r="M140" i="1"/>
  <c r="N324" i="1"/>
  <c r="N325" i="1" s="1"/>
  <c r="N326" i="1" s="1"/>
  <c r="L126" i="1"/>
  <c r="K140" i="1"/>
  <c r="L140" i="1" s="1"/>
  <c r="Q324" i="1"/>
  <c r="M324" i="1"/>
  <c r="M325" i="1" s="1"/>
  <c r="M326" i="1" s="1"/>
  <c r="J140" i="1"/>
  <c r="K324" i="1"/>
  <c r="K325" i="1" s="1"/>
  <c r="K326" i="1" s="1"/>
  <c r="I140" i="1"/>
  <c r="J324" i="1"/>
  <c r="J325" i="1" s="1"/>
  <c r="J326" i="1" s="1"/>
  <c r="H140" i="1"/>
  <c r="I324" i="1"/>
  <c r="I325" i="1" s="1"/>
  <c r="I326" i="1" s="1"/>
  <c r="F140" i="1"/>
  <c r="G140" i="1" s="1"/>
  <c r="H324" i="1"/>
  <c r="H325" i="1" s="1"/>
  <c r="H326" i="1" s="1"/>
  <c r="L324" i="1"/>
  <c r="G126" i="1"/>
  <c r="E140" i="1"/>
  <c r="F324" i="1"/>
  <c r="F325" i="1" s="1"/>
  <c r="F326" i="1" s="1"/>
  <c r="D140" i="1"/>
  <c r="E324" i="1"/>
  <c r="E325" i="1" s="1"/>
  <c r="E326" i="1" s="1"/>
  <c r="C140" i="1"/>
  <c r="D324" i="1"/>
  <c r="D325" i="1" s="1"/>
  <c r="D326" i="1" s="1"/>
  <c r="AF125" i="1"/>
  <c r="AJ82" i="1"/>
  <c r="AI78" i="1"/>
  <c r="AJ60" i="1"/>
  <c r="AE87" i="1"/>
  <c r="AF52" i="1"/>
  <c r="AF87" i="1" s="1"/>
  <c r="Z87" i="1"/>
  <c r="AA52" i="1"/>
  <c r="AA87" i="1" s="1"/>
  <c r="U87" i="1"/>
  <c r="V52" i="1"/>
  <c r="V87" i="1" s="1"/>
  <c r="P87" i="1"/>
  <c r="Q52" i="1"/>
  <c r="Q87" i="1" s="1"/>
  <c r="K87" i="1"/>
  <c r="L52" i="1"/>
  <c r="L87" i="1" s="1"/>
  <c r="G52" i="1"/>
  <c r="G87" i="1" s="1"/>
  <c r="F87" i="1"/>
  <c r="AG92" i="1"/>
  <c r="AB92" i="1"/>
  <c r="AF92" i="1" s="1"/>
  <c r="AF38" i="1"/>
  <c r="W92" i="1"/>
  <c r="AA92" i="1" s="1"/>
  <c r="AA38" i="1"/>
  <c r="V38" i="1"/>
  <c r="R92" i="1"/>
  <c r="V92" i="1" s="1"/>
  <c r="M92" i="1"/>
  <c r="Q92" i="1" s="1"/>
  <c r="Q38" i="1"/>
  <c r="H92" i="1"/>
  <c r="L92" i="1" s="1"/>
  <c r="L38" i="1"/>
  <c r="AI28" i="1"/>
  <c r="AG21" i="1"/>
  <c r="AE22" i="1"/>
  <c r="AD22" i="1"/>
  <c r="AC22" i="1"/>
  <c r="AB21" i="1"/>
  <c r="AF19" i="1"/>
  <c r="Z22" i="1"/>
  <c r="Y22" i="1"/>
  <c r="X22" i="1"/>
  <c r="W21" i="1"/>
  <c r="AA19" i="1"/>
  <c r="U22" i="1"/>
  <c r="T22" i="1"/>
  <c r="S22" i="1"/>
  <c r="V19" i="1"/>
  <c r="R21" i="1"/>
  <c r="P22" i="1"/>
  <c r="O22" i="1"/>
  <c r="N22" i="1"/>
  <c r="Q19" i="1"/>
  <c r="M21" i="1"/>
  <c r="K22" i="1"/>
  <c r="J22" i="1"/>
  <c r="I22" i="1"/>
  <c r="H21" i="1"/>
  <c r="L19" i="1"/>
  <c r="F22" i="1"/>
  <c r="E22" i="1"/>
  <c r="D22" i="1"/>
  <c r="C21" i="1"/>
  <c r="G19" i="1"/>
  <c r="AF17" i="1"/>
  <c r="AA17" i="1"/>
  <c r="V17" i="1"/>
  <c r="Q17" i="1"/>
  <c r="L17" i="1"/>
  <c r="AG11" i="1"/>
  <c r="AG13" i="1"/>
  <c r="AE11" i="1"/>
  <c r="AE13" i="1"/>
  <c r="AE14" i="1" s="1"/>
  <c r="AD11" i="1"/>
  <c r="AD13" i="1"/>
  <c r="AD14" i="1" s="1"/>
  <c r="AC11" i="1"/>
  <c r="AC13" i="1"/>
  <c r="AC14" i="1" s="1"/>
  <c r="AB13" i="1"/>
  <c r="AB11" i="1"/>
  <c r="AF10" i="1"/>
  <c r="AF11" i="1" s="1"/>
  <c r="Z11" i="1"/>
  <c r="Z13" i="1"/>
  <c r="Z14" i="1" s="1"/>
  <c r="Y11" i="1"/>
  <c r="Y13" i="1"/>
  <c r="Y14" i="1" s="1"/>
  <c r="X13" i="1"/>
  <c r="X14" i="1" s="1"/>
  <c r="X11" i="1"/>
  <c r="W13" i="1"/>
  <c r="AA10" i="1"/>
  <c r="AA11" i="1" s="1"/>
  <c r="W11" i="1"/>
  <c r="U11" i="1"/>
  <c r="U13" i="1"/>
  <c r="U14" i="1" s="1"/>
  <c r="T13" i="1"/>
  <c r="T14" i="1" s="1"/>
  <c r="T11" i="1"/>
  <c r="S13" i="1"/>
  <c r="S14" i="1" s="1"/>
  <c r="S11" i="1"/>
  <c r="R13" i="1"/>
  <c r="R11" i="1"/>
  <c r="V10" i="1"/>
  <c r="V11" i="1" s="1"/>
  <c r="P11" i="1"/>
  <c r="P13" i="1"/>
  <c r="P14" i="1" s="1"/>
  <c r="N13" i="1"/>
  <c r="N14" i="1" s="1"/>
  <c r="N11" i="1"/>
  <c r="M13" i="1"/>
  <c r="Q10" i="1"/>
  <c r="Q11" i="1" s="1"/>
  <c r="M11" i="1"/>
  <c r="K11" i="1"/>
  <c r="K13" i="1"/>
  <c r="K14" i="1" s="1"/>
  <c r="J13" i="1"/>
  <c r="J14" i="1" s="1"/>
  <c r="J11" i="1"/>
  <c r="I11" i="1"/>
  <c r="I13" i="1"/>
  <c r="I14" i="1" s="1"/>
  <c r="H13" i="1"/>
  <c r="L10" i="1"/>
  <c r="L11" i="1" s="1"/>
  <c r="H11" i="1"/>
  <c r="G10" i="1"/>
  <c r="C13" i="1"/>
  <c r="Q380" i="1" l="1"/>
  <c r="P405" i="1"/>
  <c r="Q405" i="1" s="1"/>
  <c r="O405" i="1"/>
  <c r="N405" i="1"/>
  <c r="M405" i="1"/>
  <c r="AG238" i="1"/>
  <c r="AE238" i="1"/>
  <c r="AD238" i="1"/>
  <c r="AC238" i="1"/>
  <c r="AB238" i="1"/>
  <c r="Z238" i="1"/>
  <c r="Y238" i="1"/>
  <c r="X238" i="1"/>
  <c r="W238" i="1"/>
  <c r="U238" i="1"/>
  <c r="T238" i="1"/>
  <c r="S238" i="1"/>
  <c r="R238" i="1"/>
  <c r="AF350" i="1"/>
  <c r="I235" i="1"/>
  <c r="G210" i="1"/>
  <c r="G234" i="1" s="1"/>
  <c r="AF241" i="1"/>
  <c r="AA241" i="1"/>
  <c r="V241" i="1"/>
  <c r="Q241" i="1"/>
  <c r="AF238" i="1"/>
  <c r="AA238" i="1"/>
  <c r="V238" i="1"/>
  <c r="Q238" i="1"/>
  <c r="AG235" i="1"/>
  <c r="AE235" i="1"/>
  <c r="AD235" i="1"/>
  <c r="AC235" i="1"/>
  <c r="AB235" i="1"/>
  <c r="Z235" i="1"/>
  <c r="Y235" i="1"/>
  <c r="X235" i="1"/>
  <c r="W235" i="1"/>
  <c r="U235" i="1"/>
  <c r="T235" i="1"/>
  <c r="S235" i="1"/>
  <c r="R235" i="1"/>
  <c r="P235" i="1"/>
  <c r="O235" i="1"/>
  <c r="N235" i="1"/>
  <c r="M235" i="1"/>
  <c r="F117" i="1"/>
  <c r="G287" i="1"/>
  <c r="F289" i="1"/>
  <c r="G289" i="1" s="1"/>
  <c r="F288" i="1"/>
  <c r="G288" i="1" s="1"/>
  <c r="V335" i="1"/>
  <c r="V336" i="1" s="1"/>
  <c r="Q335" i="1"/>
  <c r="Q336" i="1" s="1"/>
  <c r="L335" i="1"/>
  <c r="L336" i="1" s="1"/>
  <c r="AH335" i="1"/>
  <c r="AG336" i="1"/>
  <c r="V364" i="1"/>
  <c r="W132" i="1" s="1"/>
  <c r="U132" i="1"/>
  <c r="V132" i="1" s="1"/>
  <c r="Q364" i="1"/>
  <c r="P132" i="1"/>
  <c r="Q132" i="1" s="1"/>
  <c r="L364" i="1"/>
  <c r="K132" i="1"/>
  <c r="L132" i="1" s="1"/>
  <c r="G364" i="1"/>
  <c r="F132" i="1"/>
  <c r="G132" i="1" s="1"/>
  <c r="AD25" i="1"/>
  <c r="AD30" i="1"/>
  <c r="AC25" i="1"/>
  <c r="AC30" i="1"/>
  <c r="Z25" i="1"/>
  <c r="Z30" i="1"/>
  <c r="Y25" i="1"/>
  <c r="Y30" i="1"/>
  <c r="X25" i="1"/>
  <c r="X30" i="1"/>
  <c r="U25" i="1"/>
  <c r="U30" i="1"/>
  <c r="T25" i="1"/>
  <c r="T30" i="1"/>
  <c r="S25" i="1"/>
  <c r="S30" i="1"/>
  <c r="P25" i="1"/>
  <c r="P30" i="1"/>
  <c r="O25" i="1"/>
  <c r="O30" i="1"/>
  <c r="N25" i="1"/>
  <c r="N30" i="1"/>
  <c r="K25" i="1"/>
  <c r="K30" i="1"/>
  <c r="J25" i="1"/>
  <c r="J30" i="1"/>
  <c r="I25" i="1"/>
  <c r="I30" i="1"/>
  <c r="F25" i="1"/>
  <c r="F30" i="1"/>
  <c r="E25" i="1"/>
  <c r="E30" i="1"/>
  <c r="D25" i="1"/>
  <c r="D30" i="1"/>
  <c r="AJ377" i="1"/>
  <c r="AK380" i="1"/>
  <c r="G13" i="4"/>
  <c r="AP339" i="1"/>
  <c r="AO325" i="1"/>
  <c r="AP326" i="1"/>
  <c r="AP331" i="1"/>
  <c r="AO330" i="1"/>
  <c r="AO76" i="1"/>
  <c r="AO143" i="1"/>
  <c r="AP129" i="1"/>
  <c r="AA94" i="1"/>
  <c r="D114" i="1"/>
  <c r="AJ160" i="1"/>
  <c r="AK160" i="1"/>
  <c r="AL160" i="1" s="1"/>
  <c r="AM160" i="1" s="1"/>
  <c r="AN160" i="1" s="1"/>
  <c r="AE513" i="1"/>
  <c r="AE517" i="1" s="1"/>
  <c r="AE511" i="1"/>
  <c r="AE520" i="1" s="1"/>
  <c r="AE24" i="1" s="1"/>
  <c r="AE33" i="1"/>
  <c r="AF33" i="1" s="1"/>
  <c r="AF522" i="1"/>
  <c r="AF509" i="1"/>
  <c r="AI25" i="1"/>
  <c r="AF462" i="1"/>
  <c r="AF461" i="1"/>
  <c r="AA462" i="1"/>
  <c r="AA461" i="1"/>
  <c r="V461" i="1"/>
  <c r="V462" i="1"/>
  <c r="Q462" i="1"/>
  <c r="Q461" i="1"/>
  <c r="L461" i="1"/>
  <c r="L462" i="1"/>
  <c r="AH449" i="1"/>
  <c r="AF452" i="1"/>
  <c r="AF465" i="1" s="1"/>
  <c r="AE465" i="1"/>
  <c r="Z465" i="1"/>
  <c r="AA452" i="1"/>
  <c r="AA465" i="1" s="1"/>
  <c r="U465" i="1"/>
  <c r="V452" i="1"/>
  <c r="V465" i="1" s="1"/>
  <c r="P465" i="1"/>
  <c r="Q452" i="1"/>
  <c r="Q465" i="1" s="1"/>
  <c r="K465" i="1"/>
  <c r="L452" i="1"/>
  <c r="L465" i="1" s="1"/>
  <c r="G452" i="1"/>
  <c r="G465" i="1" s="1"/>
  <c r="F465" i="1"/>
  <c r="AI440" i="1"/>
  <c r="AH438" i="1"/>
  <c r="AF440" i="1"/>
  <c r="AF439" i="1"/>
  <c r="AA439" i="1"/>
  <c r="AA440" i="1"/>
  <c r="V440" i="1"/>
  <c r="V439" i="1"/>
  <c r="Q439" i="1"/>
  <c r="Q440" i="1"/>
  <c r="L439" i="1"/>
  <c r="L440" i="1"/>
  <c r="AE443" i="1"/>
  <c r="AF426" i="1"/>
  <c r="AF443" i="1" s="1"/>
  <c r="AA426" i="1"/>
  <c r="AA443" i="1" s="1"/>
  <c r="Z443" i="1"/>
  <c r="U443" i="1"/>
  <c r="V426" i="1"/>
  <c r="V443" i="1" s="1"/>
  <c r="P443" i="1"/>
  <c r="Q426" i="1"/>
  <c r="Q443" i="1" s="1"/>
  <c r="L426" i="1"/>
  <c r="L443" i="1" s="1"/>
  <c r="K443" i="1"/>
  <c r="F443" i="1"/>
  <c r="G426" i="1"/>
  <c r="G443" i="1" s="1"/>
  <c r="AE417" i="1"/>
  <c r="AF417" i="1" s="1"/>
  <c r="AF416" i="1"/>
  <c r="AA416" i="1"/>
  <c r="Z417" i="1"/>
  <c r="AA417" i="1" s="1"/>
  <c r="U417" i="1"/>
  <c r="V417" i="1" s="1"/>
  <c r="V416" i="1"/>
  <c r="Q416" i="1"/>
  <c r="P417" i="1"/>
  <c r="Q417" i="1" s="1"/>
  <c r="K417" i="1"/>
  <c r="L417" i="1" s="1"/>
  <c r="L416" i="1"/>
  <c r="AG413" i="1"/>
  <c r="AF412" i="1"/>
  <c r="AE413" i="1"/>
  <c r="AF413" i="1" s="1"/>
  <c r="AD413" i="1"/>
  <c r="AC413" i="1"/>
  <c r="AB413" i="1"/>
  <c r="AA412" i="1"/>
  <c r="Z413" i="1"/>
  <c r="AA413" i="1" s="1"/>
  <c r="Y413" i="1"/>
  <c r="X413" i="1"/>
  <c r="W413" i="1"/>
  <c r="V412" i="1"/>
  <c r="U413" i="1"/>
  <c r="V413" i="1" s="1"/>
  <c r="T413" i="1"/>
  <c r="S413" i="1"/>
  <c r="R413" i="1"/>
  <c r="P413" i="1"/>
  <c r="Q413" i="1" s="1"/>
  <c r="Q412" i="1"/>
  <c r="O413" i="1"/>
  <c r="N413" i="1"/>
  <c r="M413" i="1"/>
  <c r="K413" i="1"/>
  <c r="L413" i="1" s="1"/>
  <c r="L412" i="1"/>
  <c r="J413" i="1"/>
  <c r="I413" i="1"/>
  <c r="H413" i="1"/>
  <c r="AB382" i="1"/>
  <c r="AC381" i="1"/>
  <c r="AI382" i="1"/>
  <c r="AG375" i="1"/>
  <c r="AG95" i="1"/>
  <c r="AE389" i="1"/>
  <c r="AE385" i="1"/>
  <c r="AD385" i="1"/>
  <c r="AD389" i="1"/>
  <c r="AF374" i="1"/>
  <c r="AF375" i="1" s="1"/>
  <c r="AB95" i="1"/>
  <c r="AF95" i="1" s="1"/>
  <c r="AB375" i="1"/>
  <c r="AE399" i="1"/>
  <c r="W95" i="1"/>
  <c r="AA95" i="1" s="1"/>
  <c r="AA374" i="1"/>
  <c r="AA375" i="1" s="1"/>
  <c r="W375" i="1"/>
  <c r="Z399" i="1"/>
  <c r="R375" i="1"/>
  <c r="V374" i="1"/>
  <c r="V375" i="1" s="1"/>
  <c r="R95" i="1"/>
  <c r="V95" i="1" s="1"/>
  <c r="U399" i="1"/>
  <c r="M95" i="1"/>
  <c r="Q95" i="1" s="1"/>
  <c r="Q374" i="1"/>
  <c r="Q375" i="1" s="1"/>
  <c r="M375" i="1"/>
  <c r="P399" i="1"/>
  <c r="L374" i="1"/>
  <c r="L375" i="1" s="1"/>
  <c r="K399" i="1"/>
  <c r="H375" i="1"/>
  <c r="H95" i="1"/>
  <c r="L95" i="1" s="1"/>
  <c r="G374" i="1"/>
  <c r="G375" i="1" s="1"/>
  <c r="C375" i="1"/>
  <c r="AF396" i="1"/>
  <c r="AE397" i="1"/>
  <c r="AF397" i="1" s="1"/>
  <c r="AA396" i="1"/>
  <c r="Z397" i="1"/>
  <c r="AA397" i="1" s="1"/>
  <c r="V396" i="1"/>
  <c r="U397" i="1"/>
  <c r="V397" i="1" s="1"/>
  <c r="Q396" i="1"/>
  <c r="P397" i="1"/>
  <c r="Q397" i="1" s="1"/>
  <c r="L396" i="1"/>
  <c r="K397" i="1"/>
  <c r="L397" i="1" s="1"/>
  <c r="AH351" i="1"/>
  <c r="AI352" i="1"/>
  <c r="AF352" i="1"/>
  <c r="AF516" i="1"/>
  <c r="AA516" i="1"/>
  <c r="AA517" i="1" s="1"/>
  <c r="AA352" i="1"/>
  <c r="V352" i="1"/>
  <c r="V516" i="1"/>
  <c r="V517" i="1" s="1"/>
  <c r="Q352" i="1"/>
  <c r="Q516" i="1"/>
  <c r="Q517" i="1" s="1"/>
  <c r="AH350" i="1"/>
  <c r="AH354" i="1"/>
  <c r="AH64" i="1"/>
  <c r="AJ347" i="1"/>
  <c r="AF347" i="1"/>
  <c r="AF348" i="1" s="1"/>
  <c r="AE348" i="1"/>
  <c r="AD348" i="1"/>
  <c r="AI347" i="1"/>
  <c r="AI346" i="1" s="1"/>
  <c r="AC348" i="1"/>
  <c r="AH347" i="1"/>
  <c r="Z348" i="1"/>
  <c r="AA347" i="1"/>
  <c r="AA348" i="1" s="1"/>
  <c r="U348" i="1"/>
  <c r="V347" i="1"/>
  <c r="V348" i="1" s="1"/>
  <c r="P348" i="1"/>
  <c r="Q347" i="1"/>
  <c r="Q348" i="1" s="1"/>
  <c r="K348" i="1"/>
  <c r="L347" i="1"/>
  <c r="L348" i="1" s="1"/>
  <c r="V325" i="1"/>
  <c r="V326" i="1" s="1"/>
  <c r="V338" i="1"/>
  <c r="V339" i="1" s="1"/>
  <c r="Q325" i="1"/>
  <c r="Q326" i="1" s="1"/>
  <c r="Q338" i="1"/>
  <c r="Q339" i="1" s="1"/>
  <c r="L325" i="1"/>
  <c r="L326" i="1" s="1"/>
  <c r="L338" i="1"/>
  <c r="L339" i="1" s="1"/>
  <c r="AE318" i="1"/>
  <c r="AD333" i="1"/>
  <c r="AC335" i="1"/>
  <c r="AC336" i="1" s="1"/>
  <c r="AC364" i="1"/>
  <c r="Z318" i="1"/>
  <c r="Y333" i="1"/>
  <c r="X335" i="1"/>
  <c r="X336" i="1" s="1"/>
  <c r="X364" i="1"/>
  <c r="AE311" i="1"/>
  <c r="AD323" i="1"/>
  <c r="AD341" i="1"/>
  <c r="AD342" i="1"/>
  <c r="AC325" i="1"/>
  <c r="AC326" i="1" s="1"/>
  <c r="AC338" i="1"/>
  <c r="AC339" i="1" s="1"/>
  <c r="X325" i="1"/>
  <c r="X326" i="1" s="1"/>
  <c r="X338" i="1"/>
  <c r="X339" i="1" s="1"/>
  <c r="Z311" i="1"/>
  <c r="Y323" i="1"/>
  <c r="Y341" i="1"/>
  <c r="Y342" i="1"/>
  <c r="AF304" i="1"/>
  <c r="AJ304" i="1"/>
  <c r="AF301" i="1"/>
  <c r="AJ301" i="1"/>
  <c r="AF298" i="1"/>
  <c r="AJ298" i="1"/>
  <c r="AF295" i="1"/>
  <c r="AJ295" i="1"/>
  <c r="AF292" i="1"/>
  <c r="AJ292" i="1"/>
  <c r="AE114" i="1"/>
  <c r="AF117" i="1"/>
  <c r="Z114" i="1"/>
  <c r="AA117" i="1"/>
  <c r="U114" i="1"/>
  <c r="V117" i="1"/>
  <c r="P114" i="1"/>
  <c r="Q117" i="1"/>
  <c r="K114" i="1"/>
  <c r="AI280" i="1"/>
  <c r="AF278" i="1"/>
  <c r="AF279" i="1"/>
  <c r="AF280" i="1"/>
  <c r="AA278" i="1"/>
  <c r="AA279" i="1"/>
  <c r="AA280" i="1"/>
  <c r="V278" i="1"/>
  <c r="V279" i="1"/>
  <c r="V280" i="1"/>
  <c r="Q278" i="1"/>
  <c r="Q279" i="1"/>
  <c r="Q280" i="1"/>
  <c r="L278" i="1"/>
  <c r="L279" i="1"/>
  <c r="L280" i="1"/>
  <c r="G279" i="1"/>
  <c r="G280" i="1"/>
  <c r="AI270" i="1"/>
  <c r="AF268" i="1"/>
  <c r="AF269" i="1"/>
  <c r="AF270" i="1"/>
  <c r="AA268" i="1"/>
  <c r="AA269" i="1"/>
  <c r="AA270" i="1"/>
  <c r="V268" i="1"/>
  <c r="V269" i="1"/>
  <c r="V270" i="1"/>
  <c r="Q268" i="1"/>
  <c r="Q269" i="1"/>
  <c r="Q270" i="1"/>
  <c r="L268" i="1"/>
  <c r="L269" i="1"/>
  <c r="L270" i="1"/>
  <c r="G269" i="1"/>
  <c r="G270" i="1"/>
  <c r="AA251" i="1"/>
  <c r="AA252" i="1"/>
  <c r="AA253" i="1"/>
  <c r="AA254" i="1"/>
  <c r="V252" i="1"/>
  <c r="V253" i="1"/>
  <c r="V254" i="1"/>
  <c r="V251" i="1"/>
  <c r="Q251" i="1"/>
  <c r="Q252" i="1"/>
  <c r="Q253" i="1"/>
  <c r="Q254" i="1"/>
  <c r="L252" i="1"/>
  <c r="L253" i="1"/>
  <c r="L254" i="1"/>
  <c r="L251" i="1"/>
  <c r="G252" i="1"/>
  <c r="G253" i="1"/>
  <c r="G254" i="1"/>
  <c r="G223" i="1"/>
  <c r="G227" i="1"/>
  <c r="AE378" i="1"/>
  <c r="AD378" i="1"/>
  <c r="AI216" i="1"/>
  <c r="AJ208" i="1"/>
  <c r="AI215" i="1"/>
  <c r="AI206" i="1"/>
  <c r="AJ207" i="1"/>
  <c r="AF214" i="1"/>
  <c r="AF210" i="1"/>
  <c r="AA214" i="1"/>
  <c r="AA210" i="1"/>
  <c r="V210" i="1"/>
  <c r="V214" i="1"/>
  <c r="Q210" i="1"/>
  <c r="Q214" i="1"/>
  <c r="L214" i="1"/>
  <c r="L210" i="1"/>
  <c r="L235" i="1" s="1"/>
  <c r="AI191" i="1"/>
  <c r="AK187" i="1"/>
  <c r="AL186" i="1"/>
  <c r="AM186" i="1" s="1"/>
  <c r="AN186" i="1" s="1"/>
  <c r="AK179" i="1"/>
  <c r="AL178" i="1"/>
  <c r="AM178" i="1" s="1"/>
  <c r="AN178" i="1" s="1"/>
  <c r="AF250" i="1"/>
  <c r="AB251" i="1"/>
  <c r="AB252" i="1"/>
  <c r="AB253" i="1"/>
  <c r="AB254" i="1"/>
  <c r="AF171" i="1"/>
  <c r="AF172" i="1"/>
  <c r="AG200" i="1"/>
  <c r="AG202" i="1"/>
  <c r="AE202" i="1"/>
  <c r="AE200" i="1"/>
  <c r="AD200" i="1"/>
  <c r="AD202" i="1"/>
  <c r="AC200" i="1"/>
  <c r="AC202" i="1"/>
  <c r="AF199" i="1"/>
  <c r="AB200" i="1"/>
  <c r="AB202" i="1"/>
  <c r="Z200" i="1"/>
  <c r="Z202" i="1"/>
  <c r="Y200" i="1"/>
  <c r="Y202" i="1"/>
  <c r="X202" i="1"/>
  <c r="X200" i="1"/>
  <c r="W200" i="1"/>
  <c r="AA199" i="1"/>
  <c r="W202" i="1"/>
  <c r="AA176" i="1"/>
  <c r="AA168" i="1"/>
  <c r="U200" i="1"/>
  <c r="U202" i="1"/>
  <c r="T200" i="1"/>
  <c r="T202" i="1"/>
  <c r="S202" i="1"/>
  <c r="S200" i="1"/>
  <c r="V199" i="1"/>
  <c r="R200" i="1"/>
  <c r="R202" i="1"/>
  <c r="P200" i="1"/>
  <c r="P202" i="1"/>
  <c r="O200" i="1"/>
  <c r="O202" i="1"/>
  <c r="N200" i="1"/>
  <c r="N202" i="1"/>
  <c r="M200" i="1"/>
  <c r="M202" i="1"/>
  <c r="Q199" i="1"/>
  <c r="K202" i="1"/>
  <c r="K200" i="1"/>
  <c r="J202" i="1"/>
  <c r="J200" i="1"/>
  <c r="I200" i="1"/>
  <c r="I202" i="1"/>
  <c r="H202" i="1"/>
  <c r="L199" i="1"/>
  <c r="H200" i="1"/>
  <c r="G184" i="1"/>
  <c r="G172" i="1"/>
  <c r="G176" i="1"/>
  <c r="G180" i="1"/>
  <c r="G188" i="1"/>
  <c r="G199" i="1"/>
  <c r="G202" i="1" s="1"/>
  <c r="C202" i="1"/>
  <c r="AI129" i="1"/>
  <c r="AH143" i="1"/>
  <c r="AH76" i="1"/>
  <c r="AF142" i="1"/>
  <c r="AE141" i="1"/>
  <c r="AA142" i="1"/>
  <c r="Z141" i="1"/>
  <c r="V142" i="1"/>
  <c r="U141" i="1"/>
  <c r="Q142" i="1"/>
  <c r="P141" i="1"/>
  <c r="L142" i="1"/>
  <c r="K141" i="1"/>
  <c r="G142" i="1"/>
  <c r="F141" i="1"/>
  <c r="AI126" i="1"/>
  <c r="AH140" i="1"/>
  <c r="AI324" i="1"/>
  <c r="AI323" i="1" s="1"/>
  <c r="AH54" i="1"/>
  <c r="AK82" i="1"/>
  <c r="AL82" i="1" s="1"/>
  <c r="AJ78" i="1"/>
  <c r="AK78" i="1" s="1"/>
  <c r="AK60" i="1"/>
  <c r="AL60" i="1" s="1"/>
  <c r="AM60" i="1" s="1"/>
  <c r="AN60" i="1" s="1"/>
  <c r="AJ28" i="1"/>
  <c r="AG22" i="1"/>
  <c r="AH22" i="1" s="1"/>
  <c r="AG30" i="1"/>
  <c r="AF21" i="1"/>
  <c r="AF22" i="1" s="1"/>
  <c r="AB22" i="1"/>
  <c r="AB30" i="1"/>
  <c r="AA21" i="1"/>
  <c r="AA22" i="1" s="1"/>
  <c r="W22" i="1"/>
  <c r="W30" i="1"/>
  <c r="V21" i="1"/>
  <c r="V22" i="1" s="1"/>
  <c r="R22" i="1"/>
  <c r="R30" i="1"/>
  <c r="Q21" i="1"/>
  <c r="Q22" i="1" s="1"/>
  <c r="M22" i="1"/>
  <c r="M30" i="1"/>
  <c r="L21" i="1"/>
  <c r="L22" i="1" s="1"/>
  <c r="H22" i="1"/>
  <c r="H30" i="1"/>
  <c r="G21" i="1"/>
  <c r="G22" i="1" s="1"/>
  <c r="C22" i="1"/>
  <c r="C30" i="1"/>
  <c r="AG14" i="1"/>
  <c r="AF13" i="1"/>
  <c r="AF14" i="1" s="1"/>
  <c r="AB14" i="1"/>
  <c r="AA13" i="1"/>
  <c r="AA14" i="1" s="1"/>
  <c r="W14" i="1"/>
  <c r="R14" i="1"/>
  <c r="V13" i="1"/>
  <c r="V14" i="1" s="1"/>
  <c r="Q13" i="1"/>
  <c r="Q14" i="1" s="1"/>
  <c r="M14" i="1"/>
  <c r="L13" i="1"/>
  <c r="L14" i="1" s="1"/>
  <c r="H14" i="1"/>
  <c r="C14" i="1"/>
  <c r="G13" i="1"/>
  <c r="G14" i="1" s="1"/>
  <c r="AG348" i="1"/>
  <c r="X348" i="1"/>
  <c r="T348" i="1"/>
  <c r="O348" i="1"/>
  <c r="N348" i="1"/>
  <c r="J348" i="1"/>
  <c r="AA330" i="1"/>
  <c r="AA331" i="1" s="1"/>
  <c r="K235" i="1"/>
  <c r="J235" i="1"/>
  <c r="AF191" i="1"/>
  <c r="AA191" i="1"/>
  <c r="V191" i="1"/>
  <c r="Q191" i="1"/>
  <c r="L191" i="1"/>
  <c r="G191" i="1"/>
  <c r="AG139" i="1"/>
  <c r="AD139" i="1"/>
  <c r="AC139" i="1"/>
  <c r="AB139" i="1"/>
  <c r="Y139" i="1"/>
  <c r="X139" i="1"/>
  <c r="W139" i="1"/>
  <c r="T139" i="1"/>
  <c r="S139" i="1"/>
  <c r="R139" i="1"/>
  <c r="O139" i="1"/>
  <c r="N139" i="1"/>
  <c r="M139" i="1"/>
  <c r="J139" i="1"/>
  <c r="I139" i="1"/>
  <c r="H139" i="1"/>
  <c r="E139" i="1"/>
  <c r="D139" i="1"/>
  <c r="C139" i="1"/>
  <c r="AF330" i="1"/>
  <c r="AF331" i="1" s="1"/>
  <c r="AG517" i="1"/>
  <c r="AD517" i="1"/>
  <c r="AC517" i="1"/>
  <c r="AB517" i="1"/>
  <c r="Z517" i="1"/>
  <c r="Y517" i="1"/>
  <c r="X517" i="1"/>
  <c r="W517" i="1"/>
  <c r="U517" i="1"/>
  <c r="T517" i="1"/>
  <c r="S517" i="1"/>
  <c r="R517" i="1"/>
  <c r="P517" i="1"/>
  <c r="O517" i="1"/>
  <c r="N517" i="1"/>
  <c r="M517" i="1"/>
  <c r="K517" i="1"/>
  <c r="J517" i="1"/>
  <c r="I517" i="1"/>
  <c r="H517" i="1"/>
  <c r="F517" i="1"/>
  <c r="E517" i="1"/>
  <c r="D517" i="1"/>
  <c r="L517" i="1"/>
  <c r="AB348" i="1"/>
  <c r="Y348" i="1"/>
  <c r="W348" i="1"/>
  <c r="S348" i="1"/>
  <c r="R348" i="1"/>
  <c r="M348" i="1"/>
  <c r="I348" i="1"/>
  <c r="H348" i="1"/>
  <c r="AE321" i="1"/>
  <c r="AF321" i="1"/>
  <c r="Z321" i="1"/>
  <c r="AA321" i="1" s="1"/>
  <c r="AE314" i="1"/>
  <c r="AF314" i="1" s="1"/>
  <c r="Z314" i="1"/>
  <c r="AA314" i="1"/>
  <c r="AE313" i="1"/>
  <c r="AF313" i="1" s="1"/>
  <c r="AE312" i="1"/>
  <c r="AF312" i="1"/>
  <c r="AF219" i="1"/>
  <c r="AF227" i="1"/>
  <c r="AF223" i="1"/>
  <c r="AF231" i="1"/>
  <c r="AA219" i="1"/>
  <c r="AA227" i="1"/>
  <c r="AA231" i="1"/>
  <c r="AA223" i="1"/>
  <c r="Q219" i="1"/>
  <c r="Q231" i="1"/>
  <c r="Q227" i="1"/>
  <c r="Q223" i="1"/>
  <c r="L219" i="1"/>
  <c r="L231" i="1"/>
  <c r="L227" i="1"/>
  <c r="L223" i="1"/>
  <c r="AF168" i="1"/>
  <c r="AF188" i="1"/>
  <c r="AF176" i="1"/>
  <c r="AF184" i="1"/>
  <c r="AF180" i="1"/>
  <c r="AA172" i="1"/>
  <c r="AA188" i="1"/>
  <c r="AA184" i="1"/>
  <c r="AA180" i="1"/>
  <c r="V168" i="1"/>
  <c r="V184" i="1"/>
  <c r="V180" i="1"/>
  <c r="V188" i="1"/>
  <c r="V172" i="1"/>
  <c r="V176" i="1"/>
  <c r="Q168" i="1"/>
  <c r="Q188" i="1"/>
  <c r="Q184" i="1"/>
  <c r="Q180" i="1"/>
  <c r="Q176" i="1"/>
  <c r="Q172" i="1"/>
  <c r="L168" i="1"/>
  <c r="L184" i="1"/>
  <c r="L180" i="1"/>
  <c r="L188" i="1"/>
  <c r="L172" i="1"/>
  <c r="L176" i="1"/>
  <c r="AH317" i="1"/>
  <c r="AH311" i="1"/>
  <c r="AF235" i="1" l="1"/>
  <c r="AA235" i="1"/>
  <c r="V235" i="1"/>
  <c r="Q235" i="1"/>
  <c r="G117" i="1"/>
  <c r="L117" i="1"/>
  <c r="F114" i="1"/>
  <c r="AH333" i="1"/>
  <c r="AI335" i="1"/>
  <c r="AH336" i="1"/>
  <c r="R132" i="1"/>
  <c r="T132" i="1"/>
  <c r="S132" i="1"/>
  <c r="O132" i="1"/>
  <c r="N132" i="1"/>
  <c r="M132" i="1"/>
  <c r="J132" i="1"/>
  <c r="I132" i="1"/>
  <c r="H132" i="1"/>
  <c r="AD31" i="1"/>
  <c r="AD35" i="1"/>
  <c r="AD91" i="1"/>
  <c r="AD99" i="1" s="1"/>
  <c r="AC31" i="1"/>
  <c r="AC35" i="1"/>
  <c r="AC91" i="1"/>
  <c r="AC99" i="1" s="1"/>
  <c r="Z91" i="1"/>
  <c r="Z99" i="1" s="1"/>
  <c r="Z35" i="1"/>
  <c r="Z31" i="1"/>
  <c r="AD131" i="1"/>
  <c r="Y31" i="1"/>
  <c r="Y35" i="1"/>
  <c r="Y91" i="1"/>
  <c r="Y99" i="1" s="1"/>
  <c r="AC131" i="1"/>
  <c r="X31" i="1"/>
  <c r="X35" i="1"/>
  <c r="X91" i="1"/>
  <c r="X99" i="1" s="1"/>
  <c r="AB131" i="1"/>
  <c r="Y131" i="1"/>
  <c r="U31" i="1"/>
  <c r="U91" i="1"/>
  <c r="U99" i="1" s="1"/>
  <c r="U35" i="1"/>
  <c r="T91" i="1"/>
  <c r="T99" i="1" s="1"/>
  <c r="T35" i="1"/>
  <c r="T31" i="1"/>
  <c r="X131" i="1"/>
  <c r="S35" i="1"/>
  <c r="W131" i="1"/>
  <c r="S91" i="1"/>
  <c r="S99" i="1" s="1"/>
  <c r="S31" i="1"/>
  <c r="T131" i="1"/>
  <c r="P91" i="1"/>
  <c r="P99" i="1" s="1"/>
  <c r="P35" i="1"/>
  <c r="P31" i="1"/>
  <c r="O31" i="1"/>
  <c r="O91" i="1"/>
  <c r="O99" i="1" s="1"/>
  <c r="O35" i="1"/>
  <c r="S131" i="1"/>
  <c r="N35" i="1"/>
  <c r="R131" i="1"/>
  <c r="N91" i="1"/>
  <c r="N99" i="1" s="1"/>
  <c r="N31" i="1"/>
  <c r="O131" i="1"/>
  <c r="K91" i="1"/>
  <c r="K99" i="1" s="1"/>
  <c r="K35" i="1"/>
  <c r="K31" i="1"/>
  <c r="J35" i="1"/>
  <c r="J91" i="1"/>
  <c r="J99" i="1" s="1"/>
  <c r="N131" i="1"/>
  <c r="J31" i="1"/>
  <c r="I31" i="1"/>
  <c r="I35" i="1"/>
  <c r="I91" i="1"/>
  <c r="I99" i="1" s="1"/>
  <c r="I102" i="1" s="1"/>
  <c r="I104" i="1" s="1"/>
  <c r="I106" i="1" s="1"/>
  <c r="M131" i="1"/>
  <c r="F31" i="1"/>
  <c r="F35" i="1"/>
  <c r="F91" i="1"/>
  <c r="F99" i="1" s="1"/>
  <c r="F102" i="1" s="1"/>
  <c r="F104" i="1" s="1"/>
  <c r="F106" i="1" s="1"/>
  <c r="J131" i="1"/>
  <c r="E91" i="1"/>
  <c r="E99" i="1" s="1"/>
  <c r="E102" i="1" s="1"/>
  <c r="E104" i="1" s="1"/>
  <c r="E106" i="1" s="1"/>
  <c r="E31" i="1"/>
  <c r="E35" i="1"/>
  <c r="D35" i="1"/>
  <c r="D31" i="1"/>
  <c r="D91" i="1"/>
  <c r="H13" i="4"/>
  <c r="AQ339" i="1"/>
  <c r="AP325" i="1"/>
  <c r="AQ326" i="1"/>
  <c r="AP330" i="1"/>
  <c r="AQ331" i="1"/>
  <c r="AQ129" i="1"/>
  <c r="AP76" i="1"/>
  <c r="AP143" i="1"/>
  <c r="AO160" i="1"/>
  <c r="AO186" i="1"/>
  <c r="AO178" i="1"/>
  <c r="AL78" i="1"/>
  <c r="AM82" i="1"/>
  <c r="AO60" i="1"/>
  <c r="I131" i="1"/>
  <c r="H131" i="1"/>
  <c r="AF24" i="1"/>
  <c r="AF25" i="1" s="1"/>
  <c r="AE30" i="1"/>
  <c r="AE25" i="1"/>
  <c r="AF511" i="1"/>
  <c r="AF520" i="1" s="1"/>
  <c r="AF513" i="1"/>
  <c r="AF517" i="1" s="1"/>
  <c r="AJ25" i="1"/>
  <c r="AH515" i="1"/>
  <c r="AJ440" i="1"/>
  <c r="AH424" i="1"/>
  <c r="Z382" i="1"/>
  <c r="AC377" i="1"/>
  <c r="AH382" i="1"/>
  <c r="AE400" i="1"/>
  <c r="AF400" i="1" s="1"/>
  <c r="AF399" i="1"/>
  <c r="AA399" i="1"/>
  <c r="Z400" i="1"/>
  <c r="AA400" i="1" s="1"/>
  <c r="V399" i="1"/>
  <c r="U400" i="1"/>
  <c r="V400" i="1" s="1"/>
  <c r="Q399" i="1"/>
  <c r="P400" i="1"/>
  <c r="Q400" i="1" s="1"/>
  <c r="L399" i="1"/>
  <c r="K400" i="1"/>
  <c r="L400" i="1" s="1"/>
  <c r="AH358" i="1"/>
  <c r="AH516" i="1"/>
  <c r="AI351" i="1"/>
  <c r="AJ352" i="1"/>
  <c r="AJ351" i="1" s="1"/>
  <c r="AH355" i="1"/>
  <c r="AH360" i="1" s="1"/>
  <c r="AK347" i="1"/>
  <c r="AJ346" i="1"/>
  <c r="AI350" i="1"/>
  <c r="AI354" i="1"/>
  <c r="AI64" i="1"/>
  <c r="AH364" i="1"/>
  <c r="AH318" i="1"/>
  <c r="AJ335" i="1"/>
  <c r="AI336" i="1"/>
  <c r="AF318" i="1"/>
  <c r="AF342" i="1" s="1"/>
  <c r="AE333" i="1"/>
  <c r="AD335" i="1"/>
  <c r="AD336" i="1" s="1"/>
  <c r="AD364" i="1"/>
  <c r="AA318" i="1"/>
  <c r="AA342" i="1" s="1"/>
  <c r="Z333" i="1"/>
  <c r="Y364" i="1"/>
  <c r="Y132" i="1" s="1"/>
  <c r="Y133" i="1" s="1"/>
  <c r="Y135" i="1" s="1"/>
  <c r="Y335" i="1"/>
  <c r="Y336" i="1" s="1"/>
  <c r="AF311" i="1"/>
  <c r="AF341" i="1" s="1"/>
  <c r="AE323" i="1"/>
  <c r="AE342" i="1"/>
  <c r="AE341" i="1"/>
  <c r="AF323" i="1"/>
  <c r="AD325" i="1"/>
  <c r="AD326" i="1" s="1"/>
  <c r="AD338" i="1"/>
  <c r="AD339" i="1" s="1"/>
  <c r="AA311" i="1"/>
  <c r="AA341" i="1" s="1"/>
  <c r="Z323" i="1"/>
  <c r="Z342" i="1"/>
  <c r="Z341" i="1"/>
  <c r="AA323" i="1"/>
  <c r="Y325" i="1"/>
  <c r="Y326" i="1" s="1"/>
  <c r="Y338" i="1"/>
  <c r="Y339" i="1" s="1"/>
  <c r="AK304" i="1"/>
  <c r="AL304" i="1" s="1"/>
  <c r="AM304" i="1" s="1"/>
  <c r="AN304" i="1" s="1"/>
  <c r="AK301" i="1"/>
  <c r="AL301" i="1" s="1"/>
  <c r="AM301" i="1" s="1"/>
  <c r="AN301" i="1" s="1"/>
  <c r="AK298" i="1"/>
  <c r="AL298" i="1" s="1"/>
  <c r="AM298" i="1" s="1"/>
  <c r="AN298" i="1" s="1"/>
  <c r="AK295" i="1"/>
  <c r="AL295" i="1" s="1"/>
  <c r="AM295" i="1" s="1"/>
  <c r="AN295" i="1" s="1"/>
  <c r="AK292" i="1"/>
  <c r="AL292" i="1" s="1"/>
  <c r="AM292" i="1" s="1"/>
  <c r="AN292" i="1" s="1"/>
  <c r="AG121" i="1"/>
  <c r="AD121" i="1"/>
  <c r="AF114" i="1"/>
  <c r="AE121" i="1"/>
  <c r="AF121" i="1" s="1"/>
  <c r="W121" i="1"/>
  <c r="Y121" i="1"/>
  <c r="X121" i="1"/>
  <c r="AA114" i="1"/>
  <c r="Z121" i="1"/>
  <c r="AA121" i="1" s="1"/>
  <c r="S121" i="1"/>
  <c r="T121" i="1"/>
  <c r="R121" i="1"/>
  <c r="V114" i="1"/>
  <c r="U121" i="1"/>
  <c r="V121" i="1" s="1"/>
  <c r="O121" i="1"/>
  <c r="N121" i="1"/>
  <c r="M121" i="1"/>
  <c r="Q114" i="1"/>
  <c r="P121" i="1"/>
  <c r="Q121" i="1" s="1"/>
  <c r="G114" i="1"/>
  <c r="L114" i="1"/>
  <c r="AJ280" i="1"/>
  <c r="AJ270" i="1"/>
  <c r="AK208" i="1"/>
  <c r="AJ216" i="1"/>
  <c r="AI210" i="1"/>
  <c r="AI235" i="1" s="1"/>
  <c r="AI214" i="1"/>
  <c r="AJ215" i="1"/>
  <c r="AJ206" i="1"/>
  <c r="AK207" i="1"/>
  <c r="AJ191" i="1"/>
  <c r="AF251" i="1"/>
  <c r="AF252" i="1"/>
  <c r="AF253" i="1"/>
  <c r="AF254" i="1"/>
  <c r="AF202" i="1"/>
  <c r="AF200" i="1"/>
  <c r="AA202" i="1"/>
  <c r="AA200" i="1"/>
  <c r="V202" i="1"/>
  <c r="V200" i="1"/>
  <c r="Q202" i="1"/>
  <c r="Q200" i="1"/>
  <c r="L202" i="1"/>
  <c r="L200" i="1"/>
  <c r="AJ129" i="1"/>
  <c r="AI143" i="1"/>
  <c r="AI76" i="1"/>
  <c r="AF141" i="1"/>
  <c r="AE139" i="1"/>
  <c r="AA141" i="1"/>
  <c r="Z139" i="1"/>
  <c r="V141" i="1"/>
  <c r="U139" i="1"/>
  <c r="Q141" i="1"/>
  <c r="P139" i="1"/>
  <c r="L141" i="1"/>
  <c r="K139" i="1"/>
  <c r="G141" i="1"/>
  <c r="F139" i="1"/>
  <c r="AJ126" i="1"/>
  <c r="AI140" i="1"/>
  <c r="AJ324" i="1"/>
  <c r="AJ323" i="1" s="1"/>
  <c r="AI54" i="1"/>
  <c r="AI22" i="1"/>
  <c r="AG31" i="1"/>
  <c r="AG35" i="1"/>
  <c r="AG91" i="1"/>
  <c r="AD36" i="1"/>
  <c r="AD40" i="1"/>
  <c r="AD102" i="1"/>
  <c r="AD104" i="1" s="1"/>
  <c r="AD106" i="1" s="1"/>
  <c r="AC36" i="1"/>
  <c r="AC40" i="1"/>
  <c r="AC102" i="1"/>
  <c r="AC104" i="1" s="1"/>
  <c r="AC106" i="1" s="1"/>
  <c r="AB31" i="1"/>
  <c r="AB35" i="1"/>
  <c r="AB91" i="1"/>
  <c r="Z36" i="1"/>
  <c r="Z40" i="1"/>
  <c r="AD113" i="1"/>
  <c r="Z102" i="1"/>
  <c r="Z104" i="1" s="1"/>
  <c r="Z106" i="1" s="1"/>
  <c r="AD146" i="1"/>
  <c r="AD148" i="1" s="1"/>
  <c r="Y36" i="1"/>
  <c r="Y40" i="1"/>
  <c r="AC113" i="1"/>
  <c r="Y102" i="1"/>
  <c r="Y104" i="1" s="1"/>
  <c r="Y106" i="1" s="1"/>
  <c r="AC146" i="1"/>
  <c r="AC148" i="1" s="1"/>
  <c r="X36" i="1"/>
  <c r="X40" i="1"/>
  <c r="AB113" i="1"/>
  <c r="X102" i="1"/>
  <c r="X104" i="1" s="1"/>
  <c r="X106" i="1" s="1"/>
  <c r="AB146" i="1"/>
  <c r="AB148" i="1" s="1"/>
  <c r="AA30" i="1"/>
  <c r="AA31" i="1" s="1"/>
  <c r="W31" i="1"/>
  <c r="W35" i="1"/>
  <c r="W91" i="1"/>
  <c r="Z131" i="1"/>
  <c r="U36" i="1"/>
  <c r="U40" i="1"/>
  <c r="Y113" i="1"/>
  <c r="U102" i="1"/>
  <c r="U104" i="1" s="1"/>
  <c r="U106" i="1" s="1"/>
  <c r="Y146" i="1"/>
  <c r="Y148" i="1" s="1"/>
  <c r="T36" i="1"/>
  <c r="T40" i="1"/>
  <c r="X113" i="1"/>
  <c r="T102" i="1"/>
  <c r="T104" i="1" s="1"/>
  <c r="T106" i="1" s="1"/>
  <c r="X146" i="1"/>
  <c r="X148" i="1" s="1"/>
  <c r="S36" i="1"/>
  <c r="S40" i="1"/>
  <c r="W113" i="1"/>
  <c r="S102" i="1"/>
  <c r="S104" i="1" s="1"/>
  <c r="S106" i="1" s="1"/>
  <c r="W133" i="1"/>
  <c r="W135" i="1" s="1"/>
  <c r="W146" i="1"/>
  <c r="W148" i="1" s="1"/>
  <c r="V30" i="1"/>
  <c r="V31" i="1" s="1"/>
  <c r="R31" i="1"/>
  <c r="R35" i="1"/>
  <c r="R91" i="1"/>
  <c r="U131" i="1"/>
  <c r="P36" i="1"/>
  <c r="P40" i="1"/>
  <c r="T113" i="1"/>
  <c r="P102" i="1"/>
  <c r="P104" i="1" s="1"/>
  <c r="P106" i="1" s="1"/>
  <c r="T133" i="1"/>
  <c r="T135" i="1" s="1"/>
  <c r="T146" i="1"/>
  <c r="T148" i="1" s="1"/>
  <c r="O36" i="1"/>
  <c r="O40" i="1"/>
  <c r="S113" i="1"/>
  <c r="O102" i="1"/>
  <c r="O104" i="1" s="1"/>
  <c r="O106" i="1" s="1"/>
  <c r="S133" i="1"/>
  <c r="S135" i="1" s="1"/>
  <c r="S146" i="1"/>
  <c r="S148" i="1" s="1"/>
  <c r="N36" i="1"/>
  <c r="N40" i="1"/>
  <c r="R113" i="1"/>
  <c r="N102" i="1"/>
  <c r="N104" i="1" s="1"/>
  <c r="N106" i="1" s="1"/>
  <c r="R133" i="1"/>
  <c r="R135" i="1" s="1"/>
  <c r="R146" i="1"/>
  <c r="R148" i="1" s="1"/>
  <c r="Q30" i="1"/>
  <c r="Q31" i="1" s="1"/>
  <c r="M31" i="1"/>
  <c r="M35" i="1"/>
  <c r="M91" i="1"/>
  <c r="P131" i="1"/>
  <c r="K36" i="1"/>
  <c r="K40" i="1"/>
  <c r="O113" i="1"/>
  <c r="K102" i="1"/>
  <c r="K104" i="1" s="1"/>
  <c r="K106" i="1" s="1"/>
  <c r="O133" i="1"/>
  <c r="O135" i="1" s="1"/>
  <c r="O146" i="1"/>
  <c r="O148" i="1" s="1"/>
  <c r="J36" i="1"/>
  <c r="J40" i="1"/>
  <c r="N113" i="1"/>
  <c r="J102" i="1"/>
  <c r="J104" i="1" s="1"/>
  <c r="J106" i="1" s="1"/>
  <c r="N133" i="1"/>
  <c r="N135" i="1" s="1"/>
  <c r="N146" i="1"/>
  <c r="N148" i="1" s="1"/>
  <c r="L30" i="1"/>
  <c r="L31" i="1" s="1"/>
  <c r="H31" i="1"/>
  <c r="H35" i="1"/>
  <c r="H91" i="1"/>
  <c r="K131" i="1"/>
  <c r="G30" i="1"/>
  <c r="G31" i="1" s="1"/>
  <c r="C31" i="1"/>
  <c r="C35" i="1"/>
  <c r="F131" i="1"/>
  <c r="AJ282" i="1"/>
  <c r="AJ283" i="1" s="1"/>
  <c r="AJ272" i="1"/>
  <c r="AJ273" i="1" s="1"/>
  <c r="AJ226" i="1"/>
  <c r="AI226" i="1"/>
  <c r="AI282" i="1"/>
  <c r="AI272" i="1"/>
  <c r="AJ222" i="1"/>
  <c r="AJ259" i="1"/>
  <c r="AJ229" i="1"/>
  <c r="AJ218" i="1" s="1"/>
  <c r="AI222" i="1"/>
  <c r="AI229" i="1"/>
  <c r="AI259" i="1"/>
  <c r="AH310" i="1"/>
  <c r="X132" i="1"/>
  <c r="AC121" i="1"/>
  <c r="AB121" i="1"/>
  <c r="AI311" i="1"/>
  <c r="X133" i="1" l="1"/>
  <c r="X135" i="1" s="1"/>
  <c r="I36" i="1"/>
  <c r="I40" i="1"/>
  <c r="M113" i="1"/>
  <c r="M133" i="1"/>
  <c r="M135" i="1" s="1"/>
  <c r="M146" i="1"/>
  <c r="M148" i="1" s="1"/>
  <c r="F40" i="1"/>
  <c r="J113" i="1"/>
  <c r="J111" i="1" s="1"/>
  <c r="F36" i="1"/>
  <c r="J146" i="1"/>
  <c r="J148" i="1" s="1"/>
  <c r="J133" i="1"/>
  <c r="J135" i="1" s="1"/>
  <c r="I113" i="1"/>
  <c r="I111" i="1" s="1"/>
  <c r="E40" i="1"/>
  <c r="E36" i="1"/>
  <c r="H113" i="1"/>
  <c r="H111" i="1" s="1"/>
  <c r="D40" i="1"/>
  <c r="D36" i="1"/>
  <c r="D99" i="1"/>
  <c r="G91" i="1"/>
  <c r="I133" i="1"/>
  <c r="I135" i="1" s="1"/>
  <c r="I146" i="1"/>
  <c r="I148" i="1" s="1"/>
  <c r="H133" i="1"/>
  <c r="H135" i="1" s="1"/>
  <c r="H146" i="1"/>
  <c r="H148" i="1" s="1"/>
  <c r="AE131" i="1"/>
  <c r="AF30" i="1"/>
  <c r="AF31" i="1" s="1"/>
  <c r="I13" i="4"/>
  <c r="AR339" i="1"/>
  <c r="AQ325" i="1"/>
  <c r="AR326" i="1"/>
  <c r="AQ330" i="1"/>
  <c r="AR331" i="1"/>
  <c r="AQ76" i="1"/>
  <c r="AR129" i="1"/>
  <c r="AQ143" i="1"/>
  <c r="AP160" i="1"/>
  <c r="AP186" i="1"/>
  <c r="AP178" i="1"/>
  <c r="AN82" i="1"/>
  <c r="AM78" i="1"/>
  <c r="AP60" i="1"/>
  <c r="AK351" i="1"/>
  <c r="AO304" i="1"/>
  <c r="AO301" i="1"/>
  <c r="AO298" i="1"/>
  <c r="AO295" i="1"/>
  <c r="AO292" i="1"/>
  <c r="AI310" i="1"/>
  <c r="AG131" i="1"/>
  <c r="AE91" i="1"/>
  <c r="AE35" i="1"/>
  <c r="AE31" i="1"/>
  <c r="AH514" i="1"/>
  <c r="AH513" i="1" s="1"/>
  <c r="AH33" i="1" s="1"/>
  <c r="AH387" i="1"/>
  <c r="Z381" i="1"/>
  <c r="Y382" i="1"/>
  <c r="AC378" i="1"/>
  <c r="AC384" i="1"/>
  <c r="AK516" i="1"/>
  <c r="AK352" i="1"/>
  <c r="AL352" i="1" s="1"/>
  <c r="AM352" i="1" s="1"/>
  <c r="AH363" i="1"/>
  <c r="AI358" i="1"/>
  <c r="AI516" i="1"/>
  <c r="AJ516" i="1"/>
  <c r="AJ358" i="1"/>
  <c r="AJ363" i="1" s="1"/>
  <c r="AJ97" i="1" s="1"/>
  <c r="AH75" i="1"/>
  <c r="AH144" i="1" s="1"/>
  <c r="AI334" i="1"/>
  <c r="AI333" i="1" s="1"/>
  <c r="AI364" i="1" s="1"/>
  <c r="AL347" i="1"/>
  <c r="AM347" i="1" s="1"/>
  <c r="AK348" i="1"/>
  <c r="AJ350" i="1"/>
  <c r="AJ354" i="1"/>
  <c r="AK346" i="1"/>
  <c r="AK354" i="1" s="1"/>
  <c r="AJ64" i="1"/>
  <c r="AJ336" i="1"/>
  <c r="AI318" i="1"/>
  <c r="AF333" i="1"/>
  <c r="AF335" i="1" s="1"/>
  <c r="AF336" i="1" s="1"/>
  <c r="AE364" i="1"/>
  <c r="AE335" i="1"/>
  <c r="AE336" i="1" s="1"/>
  <c r="AA333" i="1"/>
  <c r="AA335" i="1" s="1"/>
  <c r="AA336" i="1" s="1"/>
  <c r="Z335" i="1"/>
  <c r="Z336" i="1" s="1"/>
  <c r="Z364" i="1"/>
  <c r="AE325" i="1"/>
  <c r="AE326" i="1" s="1"/>
  <c r="AE338" i="1"/>
  <c r="AE339" i="1" s="1"/>
  <c r="AF338" i="1"/>
  <c r="AF339" i="1" s="1"/>
  <c r="AF325" i="1"/>
  <c r="AF326" i="1" s="1"/>
  <c r="Z325" i="1"/>
  <c r="Z326" i="1" s="1"/>
  <c r="Z338" i="1"/>
  <c r="Z339" i="1" s="1"/>
  <c r="AA338" i="1"/>
  <c r="AA339" i="1" s="1"/>
  <c r="AA325" i="1"/>
  <c r="AA326" i="1" s="1"/>
  <c r="AK212" i="1"/>
  <c r="AK216" i="1"/>
  <c r="AJ214" i="1"/>
  <c r="AK206" i="1"/>
  <c r="AJ210" i="1"/>
  <c r="AJ235" i="1" s="1"/>
  <c r="AK215" i="1"/>
  <c r="AK211" i="1"/>
  <c r="AK129" i="1"/>
  <c r="AJ143" i="1"/>
  <c r="AK143" i="1" s="1"/>
  <c r="AJ76" i="1"/>
  <c r="AK76" i="1" s="1"/>
  <c r="AF139" i="1"/>
  <c r="AA139" i="1"/>
  <c r="V139" i="1"/>
  <c r="Q139" i="1"/>
  <c r="L139" i="1"/>
  <c r="G139" i="1"/>
  <c r="AK126" i="1"/>
  <c r="AJ140" i="1"/>
  <c r="AK140" i="1" s="1"/>
  <c r="AJ54" i="1"/>
  <c r="AJ22" i="1"/>
  <c r="AG36" i="1"/>
  <c r="AG40" i="1"/>
  <c r="AG99" i="1"/>
  <c r="AD41" i="1"/>
  <c r="AD44" i="1"/>
  <c r="AD46" i="1"/>
  <c r="AD469" i="1"/>
  <c r="AC41" i="1"/>
  <c r="AC44" i="1"/>
  <c r="AC46" i="1"/>
  <c r="AC469" i="1"/>
  <c r="AB36" i="1"/>
  <c r="AB40" i="1"/>
  <c r="AB99" i="1"/>
  <c r="Z41" i="1"/>
  <c r="Z44" i="1"/>
  <c r="Z46" i="1"/>
  <c r="Z469" i="1"/>
  <c r="AD120" i="1"/>
  <c r="AD119" i="1" s="1"/>
  <c r="AD111" i="1"/>
  <c r="Y41" i="1"/>
  <c r="Y44" i="1"/>
  <c r="Y46" i="1"/>
  <c r="Y469" i="1"/>
  <c r="AC120" i="1"/>
  <c r="AC119" i="1" s="1"/>
  <c r="AC111" i="1"/>
  <c r="X41" i="1"/>
  <c r="X44" i="1"/>
  <c r="X46" i="1"/>
  <c r="X469" i="1"/>
  <c r="AB120" i="1"/>
  <c r="AB119" i="1" s="1"/>
  <c r="AB111" i="1"/>
  <c r="AA35" i="1"/>
  <c r="AA36" i="1" s="1"/>
  <c r="W36" i="1"/>
  <c r="W40" i="1"/>
  <c r="Z113" i="1"/>
  <c r="AA91" i="1"/>
  <c r="W99" i="1"/>
  <c r="AA131" i="1"/>
  <c r="Z146" i="1"/>
  <c r="U41" i="1"/>
  <c r="U44" i="1"/>
  <c r="U46" i="1"/>
  <c r="U469" i="1"/>
  <c r="Y120" i="1"/>
  <c r="Y119" i="1" s="1"/>
  <c r="Y111" i="1"/>
  <c r="T41" i="1"/>
  <c r="T44" i="1"/>
  <c r="T46" i="1"/>
  <c r="T469" i="1"/>
  <c r="X120" i="1"/>
  <c r="X119" i="1" s="1"/>
  <c r="X111" i="1"/>
  <c r="S41" i="1"/>
  <c r="S44" i="1"/>
  <c r="S46" i="1"/>
  <c r="S469" i="1"/>
  <c r="W120" i="1"/>
  <c r="W119" i="1" s="1"/>
  <c r="W111" i="1"/>
  <c r="V35" i="1"/>
  <c r="V36" i="1" s="1"/>
  <c r="R36" i="1"/>
  <c r="R40" i="1"/>
  <c r="U113" i="1"/>
  <c r="V91" i="1"/>
  <c r="R99" i="1"/>
  <c r="V131" i="1"/>
  <c r="U133" i="1"/>
  <c r="U146" i="1"/>
  <c r="P41" i="1"/>
  <c r="P44" i="1"/>
  <c r="P46" i="1"/>
  <c r="P469" i="1"/>
  <c r="T120" i="1"/>
  <c r="T119" i="1" s="1"/>
  <c r="T111" i="1"/>
  <c r="O41" i="1"/>
  <c r="O44" i="1"/>
  <c r="O46" i="1"/>
  <c r="O469" i="1"/>
  <c r="S120" i="1"/>
  <c r="S119" i="1" s="1"/>
  <c r="S111" i="1"/>
  <c r="N41" i="1"/>
  <c r="N44" i="1"/>
  <c r="N46" i="1"/>
  <c r="N469" i="1"/>
  <c r="R120" i="1"/>
  <c r="R119" i="1" s="1"/>
  <c r="R111" i="1"/>
  <c r="Q35" i="1"/>
  <c r="Q36" i="1" s="1"/>
  <c r="M36" i="1"/>
  <c r="M40" i="1"/>
  <c r="P113" i="1"/>
  <c r="Q91" i="1"/>
  <c r="M99" i="1"/>
  <c r="Q131" i="1"/>
  <c r="P133" i="1"/>
  <c r="P146" i="1"/>
  <c r="K41" i="1"/>
  <c r="K44" i="1"/>
  <c r="K46" i="1"/>
  <c r="K469" i="1"/>
  <c r="O120" i="1"/>
  <c r="O119" i="1" s="1"/>
  <c r="O111" i="1"/>
  <c r="J41" i="1"/>
  <c r="J44" i="1"/>
  <c r="J46" i="1"/>
  <c r="J469" i="1"/>
  <c r="N120" i="1"/>
  <c r="N119" i="1" s="1"/>
  <c r="N111" i="1"/>
  <c r="I41" i="1"/>
  <c r="I44" i="1"/>
  <c r="I46" i="1"/>
  <c r="I469" i="1"/>
  <c r="M120" i="1"/>
  <c r="M119" i="1" s="1"/>
  <c r="M111" i="1"/>
  <c r="L35" i="1"/>
  <c r="L36" i="1" s="1"/>
  <c r="H36" i="1"/>
  <c r="H40" i="1"/>
  <c r="K113" i="1"/>
  <c r="L91" i="1"/>
  <c r="H99" i="1"/>
  <c r="L131" i="1"/>
  <c r="K133" i="1"/>
  <c r="K146" i="1"/>
  <c r="F41" i="1"/>
  <c r="F44" i="1"/>
  <c r="F46" i="1"/>
  <c r="F469" i="1"/>
  <c r="E41" i="1"/>
  <c r="E44" i="1"/>
  <c r="E46" i="1"/>
  <c r="E469" i="1"/>
  <c r="D41" i="1"/>
  <c r="D44" i="1"/>
  <c r="D46" i="1"/>
  <c r="D469" i="1"/>
  <c r="G99" i="1"/>
  <c r="D102" i="1"/>
  <c r="G35" i="1"/>
  <c r="G36" i="1" s="1"/>
  <c r="C36" i="1"/>
  <c r="C40" i="1"/>
  <c r="G131" i="1"/>
  <c r="F133" i="1"/>
  <c r="F146" i="1"/>
  <c r="AJ260" i="1"/>
  <c r="AJ230" i="1"/>
  <c r="AJ262" i="1"/>
  <c r="AJ231" i="1"/>
  <c r="AI230" i="1"/>
  <c r="AI262" i="1"/>
  <c r="AI256" i="1" s="1"/>
  <c r="AI260" i="1"/>
  <c r="AJ277" i="1"/>
  <c r="AJ267" i="1"/>
  <c r="AI355" i="1"/>
  <c r="AJ311" i="1"/>
  <c r="AK323" i="1"/>
  <c r="AK325" i="1" s="1"/>
  <c r="AK326" i="1" s="1"/>
  <c r="AI283" i="1"/>
  <c r="AI277" i="1"/>
  <c r="AI273" i="1"/>
  <c r="AI267" i="1"/>
  <c r="AJ227" i="1"/>
  <c r="AJ223" i="1"/>
  <c r="AJ219" i="1"/>
  <c r="AI218" i="1"/>
  <c r="AI231" i="1" s="1"/>
  <c r="AL212" i="1" l="1"/>
  <c r="AL211" i="1"/>
  <c r="AM211" i="1" s="1"/>
  <c r="AE113" i="1"/>
  <c r="AF35" i="1"/>
  <c r="AF36" i="1" s="1"/>
  <c r="AF131" i="1"/>
  <c r="AE146" i="1"/>
  <c r="AE99" i="1"/>
  <c r="AF91" i="1"/>
  <c r="J13" i="4"/>
  <c r="AS339" i="1"/>
  <c r="AR325" i="1"/>
  <c r="AS326" i="1"/>
  <c r="AS331" i="1"/>
  <c r="AR330" i="1"/>
  <c r="AS129" i="1"/>
  <c r="AR76" i="1"/>
  <c r="AR143" i="1"/>
  <c r="AQ160" i="1"/>
  <c r="AQ186" i="1"/>
  <c r="AQ178" i="1"/>
  <c r="AN78" i="1"/>
  <c r="AO82" i="1"/>
  <c r="AQ60" i="1"/>
  <c r="AP304" i="1"/>
  <c r="AP301" i="1"/>
  <c r="AP298" i="1"/>
  <c r="AP295" i="1"/>
  <c r="AP292" i="1"/>
  <c r="AI360" i="1"/>
  <c r="AN352" i="1"/>
  <c r="AN347" i="1"/>
  <c r="AJ355" i="1"/>
  <c r="AK350" i="1"/>
  <c r="AL208" i="1"/>
  <c r="AM212" i="1"/>
  <c r="AN211" i="1"/>
  <c r="AM380" i="1"/>
  <c r="AM405" i="1" s="1"/>
  <c r="G102" i="1"/>
  <c r="D104" i="1"/>
  <c r="AJ310" i="1"/>
  <c r="AK310" i="1" s="1"/>
  <c r="AK311" i="1"/>
  <c r="AG146" i="1"/>
  <c r="AG148" i="1" s="1"/>
  <c r="AE102" i="1"/>
  <c r="AE104" i="1" s="1"/>
  <c r="AE106" i="1" s="1"/>
  <c r="AG113" i="1"/>
  <c r="AE36" i="1"/>
  <c r="AE40" i="1"/>
  <c r="AH412" i="1"/>
  <c r="Z377" i="1"/>
  <c r="Y381" i="1"/>
  <c r="X382" i="1"/>
  <c r="AC385" i="1"/>
  <c r="AC389" i="1"/>
  <c r="AH97" i="1"/>
  <c r="AJ360" i="1"/>
  <c r="AI75" i="1"/>
  <c r="AI144" i="1" s="1"/>
  <c r="AJ334" i="1"/>
  <c r="AJ333" i="1" s="1"/>
  <c r="AK64" i="1"/>
  <c r="AF364" i="1"/>
  <c r="AE132" i="1"/>
  <c r="AA364" i="1"/>
  <c r="Z132" i="1"/>
  <c r="AK210" i="1"/>
  <c r="AK214" i="1"/>
  <c r="AL143" i="1"/>
  <c r="AL76" i="1"/>
  <c r="AL126" i="1"/>
  <c r="AL324" i="1"/>
  <c r="AL323" i="1" s="1"/>
  <c r="AL311" i="1" s="1"/>
  <c r="AL310" i="1" s="1"/>
  <c r="AK54" i="1"/>
  <c r="AG41" i="1"/>
  <c r="AG44" i="1"/>
  <c r="AG46" i="1"/>
  <c r="AG469" i="1"/>
  <c r="AG102" i="1"/>
  <c r="AD157" i="1"/>
  <c r="AD47" i="1"/>
  <c r="AD48" i="1"/>
  <c r="AD483" i="1"/>
  <c r="AD472" i="1"/>
  <c r="AD478" i="1" s="1"/>
  <c r="AC157" i="1"/>
  <c r="AC47" i="1"/>
  <c r="AC48" i="1"/>
  <c r="AC483" i="1"/>
  <c r="AC472" i="1"/>
  <c r="AC478" i="1" s="1"/>
  <c r="AF40" i="1"/>
  <c r="AB41" i="1"/>
  <c r="AB44" i="1"/>
  <c r="AB46" i="1"/>
  <c r="AB469" i="1"/>
  <c r="AF113" i="1"/>
  <c r="AE120" i="1"/>
  <c r="AE111" i="1"/>
  <c r="AF111" i="1" s="1"/>
  <c r="AF99" i="1"/>
  <c r="AB102" i="1"/>
  <c r="Z157" i="1"/>
  <c r="Z47" i="1"/>
  <c r="Z48" i="1"/>
  <c r="AD110" i="1"/>
  <c r="Z483" i="1"/>
  <c r="Z472" i="1"/>
  <c r="Z478" i="1" s="1"/>
  <c r="Y157" i="1"/>
  <c r="Y47" i="1"/>
  <c r="Y48" i="1"/>
  <c r="AC110" i="1"/>
  <c r="Y483" i="1"/>
  <c r="Y472" i="1"/>
  <c r="Y478" i="1" s="1"/>
  <c r="X157" i="1"/>
  <c r="X47" i="1"/>
  <c r="X48" i="1"/>
  <c r="AB110" i="1"/>
  <c r="X483" i="1"/>
  <c r="X472" i="1"/>
  <c r="X478" i="1" s="1"/>
  <c r="AA40" i="1"/>
  <c r="W41" i="1"/>
  <c r="W44" i="1"/>
  <c r="W46" i="1"/>
  <c r="W110" i="1" s="1"/>
  <c r="W469" i="1"/>
  <c r="AA113" i="1"/>
  <c r="Z120" i="1"/>
  <c r="Z111" i="1"/>
  <c r="AA111" i="1" s="1"/>
  <c r="AA99" i="1"/>
  <c r="W102" i="1"/>
  <c r="U157" i="1"/>
  <c r="U47" i="1"/>
  <c r="U48" i="1"/>
  <c r="Y110" i="1"/>
  <c r="U483" i="1"/>
  <c r="U472" i="1"/>
  <c r="U478" i="1" s="1"/>
  <c r="T157" i="1"/>
  <c r="T47" i="1"/>
  <c r="T48" i="1"/>
  <c r="X110" i="1"/>
  <c r="T483" i="1"/>
  <c r="T472" i="1"/>
  <c r="T478" i="1" s="1"/>
  <c r="S157" i="1"/>
  <c r="S47" i="1"/>
  <c r="S48" i="1"/>
  <c r="S483" i="1"/>
  <c r="S472" i="1"/>
  <c r="S478" i="1" s="1"/>
  <c r="V40" i="1"/>
  <c r="R41" i="1"/>
  <c r="R44" i="1"/>
  <c r="R46" i="1"/>
  <c r="R469" i="1"/>
  <c r="V113" i="1"/>
  <c r="U120" i="1"/>
  <c r="U111" i="1"/>
  <c r="V111" i="1" s="1"/>
  <c r="V99" i="1"/>
  <c r="R102" i="1"/>
  <c r="U135" i="1"/>
  <c r="V133" i="1"/>
  <c r="V135" i="1" s="1"/>
  <c r="P157" i="1"/>
  <c r="P47" i="1"/>
  <c r="P48" i="1"/>
  <c r="P483" i="1"/>
  <c r="P472" i="1"/>
  <c r="P478" i="1" s="1"/>
  <c r="O157" i="1"/>
  <c r="O47" i="1"/>
  <c r="O48" i="1"/>
  <c r="O483" i="1"/>
  <c r="O472" i="1"/>
  <c r="O478" i="1" s="1"/>
  <c r="N157" i="1"/>
  <c r="N47" i="1"/>
  <c r="N48" i="1"/>
  <c r="N483" i="1"/>
  <c r="N472" i="1"/>
  <c r="N478" i="1" s="1"/>
  <c r="Q40" i="1"/>
  <c r="M41" i="1"/>
  <c r="M44" i="1"/>
  <c r="M46" i="1"/>
  <c r="M469" i="1"/>
  <c r="Q113" i="1"/>
  <c r="P120" i="1"/>
  <c r="P111" i="1"/>
  <c r="Q111" i="1" s="1"/>
  <c r="Q99" i="1"/>
  <c r="M102" i="1"/>
  <c r="P135" i="1"/>
  <c r="Q133" i="1"/>
  <c r="Q135" i="1" s="1"/>
  <c r="K157" i="1"/>
  <c r="K47" i="1"/>
  <c r="K48" i="1"/>
  <c r="O110" i="1"/>
  <c r="K483" i="1"/>
  <c r="K472" i="1"/>
  <c r="K478" i="1" s="1"/>
  <c r="J157" i="1"/>
  <c r="J47" i="1"/>
  <c r="J48" i="1"/>
  <c r="N110" i="1"/>
  <c r="J483" i="1"/>
  <c r="J472" i="1"/>
  <c r="J478" i="1" s="1"/>
  <c r="I157" i="1"/>
  <c r="I47" i="1"/>
  <c r="I48" i="1"/>
  <c r="M110" i="1"/>
  <c r="I483" i="1"/>
  <c r="I472" i="1"/>
  <c r="I478" i="1" s="1"/>
  <c r="L40" i="1"/>
  <c r="H41" i="1"/>
  <c r="H44" i="1"/>
  <c r="H46" i="1"/>
  <c r="H469" i="1"/>
  <c r="L113" i="1"/>
  <c r="K111" i="1"/>
  <c r="L111" i="1" s="1"/>
  <c r="L99" i="1"/>
  <c r="H102" i="1"/>
  <c r="K135" i="1"/>
  <c r="L133" i="1"/>
  <c r="L135" i="1" s="1"/>
  <c r="F157" i="1"/>
  <c r="F48" i="1"/>
  <c r="F483" i="1"/>
  <c r="F472" i="1"/>
  <c r="F478" i="1" s="1"/>
  <c r="E157" i="1"/>
  <c r="E48" i="1"/>
  <c r="E483" i="1"/>
  <c r="E472" i="1"/>
  <c r="E478" i="1" s="1"/>
  <c r="D157" i="1"/>
  <c r="D48" i="1"/>
  <c r="D483" i="1"/>
  <c r="D472" i="1"/>
  <c r="D478" i="1" s="1"/>
  <c r="G40" i="1"/>
  <c r="C41" i="1"/>
  <c r="C44" i="1"/>
  <c r="C46" i="1"/>
  <c r="C469" i="1"/>
  <c r="F135" i="1"/>
  <c r="G133" i="1"/>
  <c r="G135" i="1" s="1"/>
  <c r="AI250" i="1"/>
  <c r="AI254" i="1" s="1"/>
  <c r="AI257" i="1"/>
  <c r="AJ182" i="1"/>
  <c r="AJ278" i="1"/>
  <c r="AJ174" i="1"/>
  <c r="AJ268" i="1"/>
  <c r="AI182" i="1"/>
  <c r="AI278" i="1"/>
  <c r="AI174" i="1"/>
  <c r="AI268" i="1"/>
  <c r="AI223" i="1"/>
  <c r="AI227" i="1"/>
  <c r="AI219" i="1"/>
  <c r="AL351" i="1"/>
  <c r="AI363" i="1"/>
  <c r="AK358" i="1"/>
  <c r="AL380" i="1"/>
  <c r="AL207" i="1"/>
  <c r="AA146" i="1"/>
  <c r="AA148" i="1" s="1"/>
  <c r="Z148" i="1"/>
  <c r="V146" i="1"/>
  <c r="V148" i="1" s="1"/>
  <c r="U148" i="1"/>
  <c r="Q146" i="1"/>
  <c r="Q148" i="1" s="1"/>
  <c r="P148" i="1"/>
  <c r="L146" i="1"/>
  <c r="L148" i="1" s="1"/>
  <c r="K148" i="1"/>
  <c r="G146" i="1"/>
  <c r="G148" i="1" s="1"/>
  <c r="F148" i="1"/>
  <c r="AJ263" i="1"/>
  <c r="AJ256" i="1"/>
  <c r="AI263" i="1"/>
  <c r="AF146" i="1" l="1"/>
  <c r="AF148" i="1" s="1"/>
  <c r="AE148" i="1"/>
  <c r="AL216" i="1"/>
  <c r="S110" i="1"/>
  <c r="R110" i="1"/>
  <c r="T110" i="1"/>
  <c r="K13" i="4"/>
  <c r="AT339" i="1"/>
  <c r="AS325" i="1"/>
  <c r="AT326" i="1"/>
  <c r="AT325" i="1" s="1"/>
  <c r="AS330" i="1"/>
  <c r="AT331" i="1"/>
  <c r="AT330" i="1" s="1"/>
  <c r="AS76" i="1"/>
  <c r="AT129" i="1"/>
  <c r="AS143" i="1"/>
  <c r="AR160" i="1"/>
  <c r="AR186" i="1"/>
  <c r="AR178" i="1"/>
  <c r="AO78" i="1"/>
  <c r="AP82" i="1"/>
  <c r="AR60" i="1"/>
  <c r="AQ304" i="1"/>
  <c r="AQ301" i="1"/>
  <c r="AQ298" i="1"/>
  <c r="AQ295" i="1"/>
  <c r="AQ292" i="1"/>
  <c r="AO352" i="1"/>
  <c r="AO347" i="1"/>
  <c r="AN212" i="1"/>
  <c r="AO212" i="1" s="1"/>
  <c r="AP212" i="1" s="1"/>
  <c r="AQ212" i="1" s="1"/>
  <c r="AR212" i="1" s="1"/>
  <c r="AS212" i="1" s="1"/>
  <c r="AT212" i="1" s="1"/>
  <c r="AM208" i="1"/>
  <c r="AN380" i="1"/>
  <c r="AO211" i="1"/>
  <c r="G104" i="1"/>
  <c r="D106" i="1"/>
  <c r="AM126" i="1"/>
  <c r="AM324" i="1"/>
  <c r="AM323" i="1" s="1"/>
  <c r="AM311" i="1" s="1"/>
  <c r="AM310" i="1" s="1"/>
  <c r="AF102" i="1"/>
  <c r="AB104" i="1"/>
  <c r="J110" i="1"/>
  <c r="I110" i="1"/>
  <c r="H110" i="1"/>
  <c r="AM207" i="1"/>
  <c r="AB132" i="1"/>
  <c r="AB133" i="1" s="1"/>
  <c r="AB135" i="1" s="1"/>
  <c r="AD132" i="1"/>
  <c r="AD133" i="1" s="1"/>
  <c r="AD135" i="1" s="1"/>
  <c r="AC132" i="1"/>
  <c r="AC133" i="1" s="1"/>
  <c r="AC135" i="1" s="1"/>
  <c r="AK102" i="1"/>
  <c r="AG104" i="1"/>
  <c r="AG106" i="1" s="1"/>
  <c r="AA102" i="1"/>
  <c r="W104" i="1"/>
  <c r="V102" i="1"/>
  <c r="R104" i="1"/>
  <c r="Q102" i="1"/>
  <c r="M104" i="1"/>
  <c r="AI97" i="1"/>
  <c r="AK97" i="1" s="1"/>
  <c r="E21" i="4" s="1"/>
  <c r="AK363" i="1"/>
  <c r="AG111" i="1"/>
  <c r="AG120" i="1"/>
  <c r="AG119" i="1" s="1"/>
  <c r="AE41" i="1"/>
  <c r="AE44" i="1"/>
  <c r="AE46" i="1"/>
  <c r="AE469" i="1"/>
  <c r="Z378" i="1"/>
  <c r="Z384" i="1"/>
  <c r="Y377" i="1"/>
  <c r="X381" i="1"/>
  <c r="W382" i="1"/>
  <c r="AJ75" i="1"/>
  <c r="AK360" i="1"/>
  <c r="AE133" i="1"/>
  <c r="AF132" i="1"/>
  <c r="Z133" i="1"/>
  <c r="AA132" i="1"/>
  <c r="AL140" i="1"/>
  <c r="AL54" i="1"/>
  <c r="AG157" i="1"/>
  <c r="AG47" i="1"/>
  <c r="AG48" i="1"/>
  <c r="AG483" i="1"/>
  <c r="AG472" i="1"/>
  <c r="AG478" i="1" s="1"/>
  <c r="AD479" i="1"/>
  <c r="AD485" i="1"/>
  <c r="AC479" i="1"/>
  <c r="AC485" i="1"/>
  <c r="AF44" i="1"/>
  <c r="AF41" i="1"/>
  <c r="AF469" i="1"/>
  <c r="AB157" i="1"/>
  <c r="AF46" i="1"/>
  <c r="AB47" i="1"/>
  <c r="AB48" i="1"/>
  <c r="AE110" i="1"/>
  <c r="AF110" i="1" s="1"/>
  <c r="AB483" i="1"/>
  <c r="AB472" i="1"/>
  <c r="AB478" i="1" s="1"/>
  <c r="AF120" i="1"/>
  <c r="AE119" i="1"/>
  <c r="AF119" i="1" s="1"/>
  <c r="Z479" i="1"/>
  <c r="Z485" i="1"/>
  <c r="Y479" i="1"/>
  <c r="Y485" i="1"/>
  <c r="X479" i="1"/>
  <c r="X485" i="1"/>
  <c r="AA44" i="1"/>
  <c r="AA41" i="1"/>
  <c r="AA469" i="1"/>
  <c r="W157" i="1"/>
  <c r="AA46" i="1"/>
  <c r="W47" i="1"/>
  <c r="W48" i="1"/>
  <c r="Z110" i="1"/>
  <c r="AA110" i="1" s="1"/>
  <c r="W483" i="1"/>
  <c r="W472" i="1"/>
  <c r="W478" i="1" s="1"/>
  <c r="AA120" i="1"/>
  <c r="Z119" i="1"/>
  <c r="AA119" i="1" s="1"/>
  <c r="U485" i="1"/>
  <c r="U479" i="1"/>
  <c r="T479" i="1"/>
  <c r="T485" i="1"/>
  <c r="S479" i="1"/>
  <c r="S485" i="1"/>
  <c r="V44" i="1"/>
  <c r="V41" i="1"/>
  <c r="V469" i="1"/>
  <c r="R157" i="1"/>
  <c r="V46" i="1"/>
  <c r="R47" i="1"/>
  <c r="R48" i="1"/>
  <c r="U110" i="1"/>
  <c r="V110" i="1" s="1"/>
  <c r="R483" i="1"/>
  <c r="R472" i="1"/>
  <c r="R478" i="1" s="1"/>
  <c r="V120" i="1"/>
  <c r="U119" i="1"/>
  <c r="V119" i="1" s="1"/>
  <c r="P485" i="1"/>
  <c r="P479" i="1"/>
  <c r="O479" i="1"/>
  <c r="O485" i="1"/>
  <c r="N485" i="1"/>
  <c r="N479" i="1"/>
  <c r="Q44" i="1"/>
  <c r="Q41" i="1"/>
  <c r="Q469" i="1"/>
  <c r="M157" i="1"/>
  <c r="Q46" i="1"/>
  <c r="M47" i="1"/>
  <c r="M48" i="1"/>
  <c r="P110" i="1"/>
  <c r="Q110" i="1" s="1"/>
  <c r="M483" i="1"/>
  <c r="M472" i="1"/>
  <c r="M478" i="1" s="1"/>
  <c r="Q120" i="1"/>
  <c r="P119" i="1"/>
  <c r="Q119" i="1" s="1"/>
  <c r="K485" i="1"/>
  <c r="K479" i="1"/>
  <c r="J479" i="1"/>
  <c r="J485" i="1"/>
  <c r="I479" i="1"/>
  <c r="I485" i="1"/>
  <c r="L44" i="1"/>
  <c r="L41" i="1"/>
  <c r="L469" i="1"/>
  <c r="H157" i="1"/>
  <c r="L46" i="1"/>
  <c r="H47" i="1"/>
  <c r="H48" i="1"/>
  <c r="K110" i="1"/>
  <c r="L110" i="1" s="1"/>
  <c r="H483" i="1"/>
  <c r="H472" i="1"/>
  <c r="H478" i="1" s="1"/>
  <c r="F479" i="1"/>
  <c r="F485" i="1"/>
  <c r="E485" i="1"/>
  <c r="E479" i="1"/>
  <c r="D479" i="1"/>
  <c r="D485" i="1"/>
  <c r="G44" i="1"/>
  <c r="G41" i="1"/>
  <c r="G469" i="1"/>
  <c r="C157" i="1"/>
  <c r="G46" i="1"/>
  <c r="C48" i="1"/>
  <c r="C483" i="1"/>
  <c r="C472" i="1"/>
  <c r="C478" i="1" s="1"/>
  <c r="AI251" i="1"/>
  <c r="AI170" i="1"/>
  <c r="AJ183" i="1"/>
  <c r="AJ175" i="1"/>
  <c r="AI183" i="1"/>
  <c r="AI175" i="1"/>
  <c r="AL358" i="1"/>
  <c r="AL363" i="1" s="1"/>
  <c r="AL516" i="1"/>
  <c r="AL405" i="1"/>
  <c r="AL346" i="1"/>
  <c r="AM351" i="1" s="1"/>
  <c r="AL206" i="1"/>
  <c r="AL215" i="1"/>
  <c r="AJ257" i="1"/>
  <c r="AJ250" i="1"/>
  <c r="AJ254" i="1" s="1"/>
  <c r="AK333" i="1"/>
  <c r="AK335" i="1" s="1"/>
  <c r="AJ364" i="1"/>
  <c r="AJ318" i="1"/>
  <c r="AK318" i="1" s="1"/>
  <c r="AG132" i="1"/>
  <c r="AG133" i="1" s="1"/>
  <c r="AG135" i="1" s="1"/>
  <c r="AI132" i="1"/>
  <c r="AH132" i="1"/>
  <c r="L102" i="1"/>
  <c r="H104" i="1"/>
  <c r="AF104" i="1" l="1"/>
  <c r="AF106" i="1" s="1"/>
  <c r="AB106" i="1"/>
  <c r="AA104" i="1"/>
  <c r="AA106" i="1" s="1"/>
  <c r="W106" i="1"/>
  <c r="Q104" i="1"/>
  <c r="Q106" i="1" s="1"/>
  <c r="M106" i="1"/>
  <c r="L13" i="4"/>
  <c r="AT76" i="1"/>
  <c r="AT143" i="1"/>
  <c r="AS160" i="1"/>
  <c r="AS186" i="1"/>
  <c r="AS178" i="1"/>
  <c r="AP78" i="1"/>
  <c r="AQ82" i="1"/>
  <c r="AS60" i="1"/>
  <c r="AR304" i="1"/>
  <c r="AR301" i="1"/>
  <c r="AR298" i="1"/>
  <c r="AR295" i="1"/>
  <c r="AR292" i="1"/>
  <c r="AP352" i="1"/>
  <c r="AP347" i="1"/>
  <c r="AN208" i="1"/>
  <c r="AM216" i="1"/>
  <c r="AN405" i="1"/>
  <c r="AP211" i="1"/>
  <c r="AO380" i="1"/>
  <c r="AM140" i="1"/>
  <c r="AN324" i="1"/>
  <c r="AN323" i="1" s="1"/>
  <c r="AN311" i="1" s="1"/>
  <c r="AN310" i="1" s="1"/>
  <c r="AN126" i="1"/>
  <c r="AM54" i="1"/>
  <c r="AN207" i="1"/>
  <c r="AM206" i="1"/>
  <c r="AM215" i="1"/>
  <c r="AM346" i="1"/>
  <c r="V104" i="1"/>
  <c r="V106" i="1" s="1"/>
  <c r="R106" i="1"/>
  <c r="AM516" i="1"/>
  <c r="AM358" i="1"/>
  <c r="AM363" i="1" s="1"/>
  <c r="AG110" i="1"/>
  <c r="AE157" i="1"/>
  <c r="AE47" i="1"/>
  <c r="AE48" i="1"/>
  <c r="AE483" i="1"/>
  <c r="AE472" i="1"/>
  <c r="AE478" i="1" s="1"/>
  <c r="Z385" i="1"/>
  <c r="Z389" i="1"/>
  <c r="Y378" i="1"/>
  <c r="Y384" i="1"/>
  <c r="X377" i="1"/>
  <c r="U382" i="1"/>
  <c r="AK75" i="1"/>
  <c r="AJ144" i="1"/>
  <c r="AK144" i="1" s="1"/>
  <c r="AL334" i="1"/>
  <c r="AF133" i="1"/>
  <c r="AF135" i="1" s="1"/>
  <c r="AE135" i="1"/>
  <c r="AA133" i="1"/>
  <c r="AA135" i="1" s="1"/>
  <c r="Z135" i="1"/>
  <c r="AG479" i="1"/>
  <c r="AG485" i="1"/>
  <c r="AF483" i="1"/>
  <c r="AF472" i="1"/>
  <c r="AF478" i="1" s="1"/>
  <c r="AF157" i="1"/>
  <c r="AF47" i="1"/>
  <c r="AF48" i="1"/>
  <c r="AB485" i="1"/>
  <c r="AB479" i="1"/>
  <c r="AA483" i="1"/>
  <c r="AA472" i="1"/>
  <c r="AA478" i="1" s="1"/>
  <c r="AA157" i="1"/>
  <c r="AA47" i="1"/>
  <c r="AA48" i="1"/>
  <c r="W485" i="1"/>
  <c r="W479" i="1"/>
  <c r="V483" i="1"/>
  <c r="V472" i="1"/>
  <c r="V478" i="1" s="1"/>
  <c r="V157" i="1"/>
  <c r="V47" i="1"/>
  <c r="V48" i="1"/>
  <c r="R479" i="1"/>
  <c r="R485" i="1"/>
  <c r="Q483" i="1"/>
  <c r="Q472" i="1"/>
  <c r="Q478" i="1" s="1"/>
  <c r="Q157" i="1"/>
  <c r="Q47" i="1"/>
  <c r="Q48" i="1"/>
  <c r="M479" i="1"/>
  <c r="M485" i="1"/>
  <c r="L483" i="1"/>
  <c r="L472" i="1"/>
  <c r="L478" i="1" s="1"/>
  <c r="L157" i="1"/>
  <c r="L47" i="1"/>
  <c r="L48" i="1"/>
  <c r="H479" i="1"/>
  <c r="H485" i="1"/>
  <c r="G483" i="1"/>
  <c r="G472" i="1"/>
  <c r="G478" i="1" s="1"/>
  <c r="G157" i="1"/>
  <c r="G48" i="1"/>
  <c r="C479" i="1"/>
  <c r="C485" i="1"/>
  <c r="AI167" i="1"/>
  <c r="AI172" i="1" s="1"/>
  <c r="AI171" i="1"/>
  <c r="AL97" i="1"/>
  <c r="F21" i="4" s="1"/>
  <c r="AL350" i="1"/>
  <c r="AL355" i="1" s="1"/>
  <c r="AL360" i="1" s="1"/>
  <c r="AL354" i="1"/>
  <c r="AL64" i="1"/>
  <c r="AL210" i="1"/>
  <c r="AL214" i="1"/>
  <c r="AJ251" i="1"/>
  <c r="AJ170" i="1"/>
  <c r="AK336" i="1"/>
  <c r="AL335" i="1"/>
  <c r="AM335" i="1" s="1"/>
  <c r="AJ132" i="1"/>
  <c r="AK132" i="1" s="1"/>
  <c r="AK364" i="1"/>
  <c r="H106" i="1"/>
  <c r="L104" i="1"/>
  <c r="L106" i="1" s="1"/>
  <c r="M13" i="4" l="1"/>
  <c r="AT160" i="1"/>
  <c r="AT186" i="1"/>
  <c r="AT178" i="1"/>
  <c r="AQ78" i="1"/>
  <c r="AR82" i="1"/>
  <c r="AT60" i="1"/>
  <c r="AS304" i="1"/>
  <c r="AS301" i="1"/>
  <c r="AS298" i="1"/>
  <c r="AS295" i="1"/>
  <c r="AS292" i="1"/>
  <c r="AQ352" i="1"/>
  <c r="AQ347" i="1"/>
  <c r="AO208" i="1"/>
  <c r="AN216" i="1"/>
  <c r="AP380" i="1"/>
  <c r="AQ211" i="1"/>
  <c r="AO405" i="1"/>
  <c r="AO324" i="1"/>
  <c r="AO323" i="1" s="1"/>
  <c r="AO311" i="1" s="1"/>
  <c r="AO310" i="1" s="1"/>
  <c r="AN140" i="1"/>
  <c r="AO126" i="1"/>
  <c r="AN54" i="1"/>
  <c r="AN346" i="1"/>
  <c r="AO207" i="1"/>
  <c r="AN206" i="1"/>
  <c r="AN215" i="1"/>
  <c r="AM210" i="1"/>
  <c r="AM214" i="1"/>
  <c r="AN351" i="1"/>
  <c r="AM64" i="1"/>
  <c r="AM350" i="1"/>
  <c r="AM355" i="1" s="1"/>
  <c r="AM354" i="1"/>
  <c r="AM97" i="1"/>
  <c r="G21" i="4" s="1"/>
  <c r="AL75" i="1"/>
  <c r="AL144" i="1" s="1"/>
  <c r="AM334" i="1"/>
  <c r="AM333" i="1" s="1"/>
  <c r="AM360" i="1"/>
  <c r="AM336" i="1"/>
  <c r="AN335" i="1"/>
  <c r="AE479" i="1"/>
  <c r="AE485" i="1"/>
  <c r="Y389" i="1"/>
  <c r="Y385" i="1"/>
  <c r="X378" i="1"/>
  <c r="X384" i="1"/>
  <c r="U381" i="1"/>
  <c r="T382" i="1"/>
  <c r="AF485" i="1"/>
  <c r="AF479" i="1"/>
  <c r="AA485" i="1"/>
  <c r="AA479" i="1"/>
  <c r="V485" i="1"/>
  <c r="V479" i="1"/>
  <c r="Q485" i="1"/>
  <c r="Q479" i="1"/>
  <c r="L485" i="1"/>
  <c r="L479" i="1"/>
  <c r="G485" i="1"/>
  <c r="G479" i="1"/>
  <c r="AI176" i="1"/>
  <c r="AI184" i="1"/>
  <c r="AI252" i="1"/>
  <c r="AI279" i="1"/>
  <c r="AI269" i="1"/>
  <c r="AI190" i="1"/>
  <c r="AI199" i="1" s="1"/>
  <c r="AI188" i="1"/>
  <c r="AI180" i="1"/>
  <c r="AI10" i="1"/>
  <c r="AI168" i="1"/>
  <c r="AJ167" i="1"/>
  <c r="AJ172" i="1" s="1"/>
  <c r="AJ171" i="1"/>
  <c r="AL333" i="1"/>
  <c r="AL336" i="1"/>
  <c r="N13" i="4" l="1"/>
  <c r="AR78" i="1"/>
  <c r="AS82" i="1"/>
  <c r="AT304" i="1"/>
  <c r="AT301" i="1"/>
  <c r="AT298" i="1"/>
  <c r="AT295" i="1"/>
  <c r="AT292" i="1"/>
  <c r="AR352" i="1"/>
  <c r="AR347" i="1"/>
  <c r="AP208" i="1"/>
  <c r="AO216" i="1"/>
  <c r="AP405" i="1"/>
  <c r="AQ380" i="1"/>
  <c r="AR211" i="1"/>
  <c r="AO54" i="1"/>
  <c r="AO140" i="1"/>
  <c r="AP324" i="1"/>
  <c r="AP323" i="1" s="1"/>
  <c r="AP311" i="1" s="1"/>
  <c r="AP310" i="1" s="1"/>
  <c r="AP126" i="1"/>
  <c r="AO351" i="1"/>
  <c r="AN64" i="1"/>
  <c r="AN354" i="1"/>
  <c r="AN350" i="1"/>
  <c r="AN355" i="1" s="1"/>
  <c r="AO346" i="1"/>
  <c r="AO215" i="1"/>
  <c r="AP207" i="1"/>
  <c r="AO206" i="1"/>
  <c r="AN214" i="1"/>
  <c r="AN210" i="1"/>
  <c r="AN516" i="1"/>
  <c r="AN358" i="1"/>
  <c r="AN363" i="1" s="1"/>
  <c r="AN334" i="1"/>
  <c r="AM75" i="1"/>
  <c r="AM144" i="1" s="1"/>
  <c r="AM364" i="1"/>
  <c r="AM132" i="1" s="1"/>
  <c r="AM318" i="1"/>
  <c r="AN333" i="1"/>
  <c r="AN336" i="1"/>
  <c r="AO335" i="1"/>
  <c r="X389" i="1"/>
  <c r="X385" i="1"/>
  <c r="U377" i="1"/>
  <c r="T381" i="1"/>
  <c r="S382" i="1"/>
  <c r="AI16" i="1"/>
  <c r="AI200" i="1"/>
  <c r="AJ252" i="1"/>
  <c r="AJ184" i="1"/>
  <c r="AJ176" i="1"/>
  <c r="AJ269" i="1"/>
  <c r="AJ279" i="1"/>
  <c r="AJ190" i="1"/>
  <c r="AJ188" i="1"/>
  <c r="AJ180" i="1"/>
  <c r="AJ10" i="1"/>
  <c r="AJ11" i="1" s="1"/>
  <c r="AJ168" i="1"/>
  <c r="AL364" i="1"/>
  <c r="AL132" i="1" s="1"/>
  <c r="AL318" i="1"/>
  <c r="AI11" i="1"/>
  <c r="AN360" i="1" l="1"/>
  <c r="AS78" i="1"/>
  <c r="AT82" i="1"/>
  <c r="AT78" i="1" s="1"/>
  <c r="AS352" i="1"/>
  <c r="AS347" i="1"/>
  <c r="AP216" i="1"/>
  <c r="AQ208" i="1"/>
  <c r="AQ405" i="1"/>
  <c r="AS211" i="1"/>
  <c r="AR380" i="1"/>
  <c r="AP54" i="1"/>
  <c r="AQ126" i="1"/>
  <c r="AQ324" i="1"/>
  <c r="AQ323" i="1" s="1"/>
  <c r="AQ311" i="1" s="1"/>
  <c r="AQ310" i="1" s="1"/>
  <c r="AP140" i="1"/>
  <c r="AO358" i="1"/>
  <c r="AO516" i="1"/>
  <c r="AP351" i="1"/>
  <c r="AO354" i="1"/>
  <c r="AO64" i="1"/>
  <c r="AO350" i="1"/>
  <c r="AO355" i="1" s="1"/>
  <c r="AP346" i="1"/>
  <c r="AP206" i="1"/>
  <c r="AP215" i="1"/>
  <c r="AQ207" i="1"/>
  <c r="AO214" i="1"/>
  <c r="AO210" i="1"/>
  <c r="AN97" i="1"/>
  <c r="H21" i="4" s="1"/>
  <c r="AN318" i="1"/>
  <c r="AN364" i="1"/>
  <c r="AN132" i="1" s="1"/>
  <c r="AO336" i="1"/>
  <c r="AP335" i="1"/>
  <c r="AJ199" i="1"/>
  <c r="U378" i="1"/>
  <c r="U384" i="1"/>
  <c r="T377" i="1"/>
  <c r="S381" i="1"/>
  <c r="R382" i="1"/>
  <c r="AI21" i="1"/>
  <c r="AI24" i="1"/>
  <c r="AI378" i="1"/>
  <c r="AI27" i="1"/>
  <c r="AI17" i="1"/>
  <c r="AI202" i="1"/>
  <c r="AI338" i="1"/>
  <c r="AI319" i="1" s="1"/>
  <c r="AI391" i="1"/>
  <c r="AI13" i="1"/>
  <c r="AJ16" i="1" l="1"/>
  <c r="AJ200" i="1"/>
  <c r="AN75" i="1"/>
  <c r="AN144" i="1" s="1"/>
  <c r="AO334" i="1"/>
  <c r="AO333" i="1" s="1"/>
  <c r="AO363" i="1"/>
  <c r="AO97" i="1" s="1"/>
  <c r="I21" i="4" s="1"/>
  <c r="AO360" i="1"/>
  <c r="AT352" i="1"/>
  <c r="AT347" i="1"/>
  <c r="AR208" i="1"/>
  <c r="AQ216" i="1"/>
  <c r="AT211" i="1"/>
  <c r="AT380" i="1" s="1"/>
  <c r="AS380" i="1"/>
  <c r="AR405" i="1"/>
  <c r="AR324" i="1"/>
  <c r="AR323" i="1" s="1"/>
  <c r="AR311" i="1" s="1"/>
  <c r="AR310" i="1" s="1"/>
  <c r="AR126" i="1"/>
  <c r="AQ54" i="1"/>
  <c r="AQ140" i="1"/>
  <c r="AP358" i="1"/>
  <c r="AP363" i="1" s="1"/>
  <c r="AP516" i="1"/>
  <c r="AQ351" i="1"/>
  <c r="AP354" i="1"/>
  <c r="AP350" i="1"/>
  <c r="AP355" i="1" s="1"/>
  <c r="AP64" i="1"/>
  <c r="AP210" i="1"/>
  <c r="AP214" i="1"/>
  <c r="AQ346" i="1"/>
  <c r="AR207" i="1"/>
  <c r="AQ206" i="1"/>
  <c r="AQ215" i="1"/>
  <c r="AP336" i="1"/>
  <c r="AQ335" i="1"/>
  <c r="U389" i="1"/>
  <c r="U385" i="1"/>
  <c r="T378" i="1"/>
  <c r="T384" i="1"/>
  <c r="S377" i="1"/>
  <c r="P382" i="1"/>
  <c r="AI19" i="1"/>
  <c r="AI30" i="1"/>
  <c r="AI448" i="1"/>
  <c r="AI372" i="1"/>
  <c r="AI96" i="1"/>
  <c r="AJ21" i="1"/>
  <c r="AJ24" i="1"/>
  <c r="AJ378" i="1"/>
  <c r="AJ27" i="1"/>
  <c r="AJ338" i="1"/>
  <c r="AJ319" i="1" s="1"/>
  <c r="AJ391" i="1"/>
  <c r="AJ17" i="1"/>
  <c r="AJ13" i="1"/>
  <c r="AJ202" i="1"/>
  <c r="AI14" i="1"/>
  <c r="AO75" i="1" l="1"/>
  <c r="AO144" i="1" s="1"/>
  <c r="AP360" i="1"/>
  <c r="AP334" i="1"/>
  <c r="AP333" i="1" s="1"/>
  <c r="AO364" i="1"/>
  <c r="AO132" i="1" s="1"/>
  <c r="AO318" i="1"/>
  <c r="AS208" i="1"/>
  <c r="AR216" i="1"/>
  <c r="AT405" i="1"/>
  <c r="AS405" i="1"/>
  <c r="AR54" i="1"/>
  <c r="AS126" i="1"/>
  <c r="AS324" i="1"/>
  <c r="AS323" i="1" s="1"/>
  <c r="AS311" i="1" s="1"/>
  <c r="AS310" i="1" s="1"/>
  <c r="AR140" i="1"/>
  <c r="AP97" i="1"/>
  <c r="J21" i="4" s="1"/>
  <c r="AQ358" i="1"/>
  <c r="AQ363" i="1" s="1"/>
  <c r="AQ516" i="1"/>
  <c r="AR351" i="1"/>
  <c r="AQ350" i="1"/>
  <c r="AQ355" i="1" s="1"/>
  <c r="AQ64" i="1"/>
  <c r="AQ354" i="1"/>
  <c r="AR346" i="1"/>
  <c r="AS207" i="1"/>
  <c r="AR206" i="1"/>
  <c r="AR215" i="1"/>
  <c r="AQ210" i="1"/>
  <c r="AQ214" i="1"/>
  <c r="AP75" i="1"/>
  <c r="AP144" i="1" s="1"/>
  <c r="AQ360" i="1"/>
  <c r="AQ334" i="1"/>
  <c r="AP318" i="1"/>
  <c r="AP364" i="1"/>
  <c r="AP132" i="1" s="1"/>
  <c r="AQ333" i="1"/>
  <c r="AQ336" i="1"/>
  <c r="AR335" i="1"/>
  <c r="T389" i="1"/>
  <c r="T385" i="1"/>
  <c r="S378" i="1"/>
  <c r="S384" i="1"/>
  <c r="P381" i="1"/>
  <c r="O382" i="1"/>
  <c r="AI31" i="1"/>
  <c r="AI91" i="1"/>
  <c r="AJ19" i="1"/>
  <c r="AJ30" i="1"/>
  <c r="AJ96" i="1"/>
  <c r="AJ372" i="1"/>
  <c r="AJ448" i="1"/>
  <c r="AI457" i="1"/>
  <c r="AI458" i="1" s="1"/>
  <c r="AJ14" i="1"/>
  <c r="AT208" i="1" l="1"/>
  <c r="AS216" i="1"/>
  <c r="AT324" i="1"/>
  <c r="AT323" i="1" s="1"/>
  <c r="AT311" i="1" s="1"/>
  <c r="AT310" i="1" s="1"/>
  <c r="AT126" i="1"/>
  <c r="AS54" i="1"/>
  <c r="AS140" i="1"/>
  <c r="AQ97" i="1"/>
  <c r="K21" i="4" s="1"/>
  <c r="AR516" i="1"/>
  <c r="AR358" i="1"/>
  <c r="AR363" i="1" s="1"/>
  <c r="AS351" i="1"/>
  <c r="AR350" i="1"/>
  <c r="AR355" i="1" s="1"/>
  <c r="AR354" i="1"/>
  <c r="AR64" i="1"/>
  <c r="AS346" i="1"/>
  <c r="AS206" i="1"/>
  <c r="AS215" i="1"/>
  <c r="AT207" i="1"/>
  <c r="AR214" i="1"/>
  <c r="AR210" i="1"/>
  <c r="AR334" i="1"/>
  <c r="AR360" i="1"/>
  <c r="AQ75" i="1"/>
  <c r="AQ144" i="1" s="1"/>
  <c r="AQ318" i="1"/>
  <c r="AQ364" i="1"/>
  <c r="AQ132" i="1" s="1"/>
  <c r="AR333" i="1"/>
  <c r="AR336" i="1"/>
  <c r="AS335" i="1"/>
  <c r="S389" i="1"/>
  <c r="S385" i="1"/>
  <c r="P377" i="1"/>
  <c r="O381" i="1"/>
  <c r="N382" i="1"/>
  <c r="AJ31" i="1"/>
  <c r="AJ91" i="1"/>
  <c r="AJ457" i="1"/>
  <c r="AT216" i="1" l="1"/>
  <c r="AT54" i="1"/>
  <c r="AT140" i="1"/>
  <c r="AR97" i="1"/>
  <c r="L21" i="4" s="1"/>
  <c r="AS358" i="1"/>
  <c r="AS516" i="1"/>
  <c r="AT351" i="1"/>
  <c r="AS350" i="1"/>
  <c r="AS355" i="1" s="1"/>
  <c r="AS64" i="1"/>
  <c r="AS354" i="1"/>
  <c r="AS210" i="1"/>
  <c r="AS214" i="1"/>
  <c r="AT346" i="1"/>
  <c r="AT206" i="1"/>
  <c r="AT215" i="1"/>
  <c r="AR75" i="1"/>
  <c r="AR144" i="1" s="1"/>
  <c r="AS334" i="1"/>
  <c r="AR318" i="1"/>
  <c r="AR364" i="1"/>
  <c r="AR132" i="1" s="1"/>
  <c r="AS333" i="1"/>
  <c r="AT335" i="1"/>
  <c r="AS336" i="1"/>
  <c r="P378" i="1"/>
  <c r="P384" i="1"/>
  <c r="O377" i="1"/>
  <c r="N381" i="1"/>
  <c r="M382" i="1"/>
  <c r="AJ458" i="1"/>
  <c r="AS363" i="1" l="1"/>
  <c r="AS97" i="1" s="1"/>
  <c r="M21" i="4" s="1"/>
  <c r="AS360" i="1"/>
  <c r="AT358" i="1"/>
  <c r="AT363" i="1" s="1"/>
  <c r="AT516" i="1"/>
  <c r="AT64" i="1"/>
  <c r="AT350" i="1"/>
  <c r="AT355" i="1" s="1"/>
  <c r="AT354" i="1"/>
  <c r="AT210" i="1"/>
  <c r="AT214" i="1"/>
  <c r="AS318" i="1"/>
  <c r="AS364" i="1"/>
  <c r="AT336" i="1"/>
  <c r="P389" i="1"/>
  <c r="P385" i="1"/>
  <c r="O378" i="1"/>
  <c r="O384" i="1"/>
  <c r="N377" i="1"/>
  <c r="K382" i="1"/>
  <c r="AS132" i="1" l="1"/>
  <c r="AT334" i="1"/>
  <c r="AT333" i="1" s="1"/>
  <c r="AT360" i="1"/>
  <c r="AT75" i="1" s="1"/>
  <c r="AT144" i="1" s="1"/>
  <c r="AS75" i="1"/>
  <c r="AS144" i="1" s="1"/>
  <c r="AT97" i="1"/>
  <c r="N21" i="4" s="1"/>
  <c r="O21" i="4" s="1"/>
  <c r="O389" i="1"/>
  <c r="O385" i="1"/>
  <c r="N378" i="1"/>
  <c r="N384" i="1"/>
  <c r="K381" i="1"/>
  <c r="J382" i="1"/>
  <c r="AT364" i="1" l="1"/>
  <c r="AT132" i="1" s="1"/>
  <c r="AT318" i="1"/>
  <c r="N385" i="1"/>
  <c r="N389" i="1"/>
  <c r="K377" i="1"/>
  <c r="J381" i="1"/>
  <c r="I382" i="1"/>
  <c r="K378" i="1" l="1"/>
  <c r="K384" i="1"/>
  <c r="J377" i="1"/>
  <c r="I381" i="1"/>
  <c r="H382" i="1"/>
  <c r="K389" i="1" l="1"/>
  <c r="K385" i="1"/>
  <c r="J378" i="1"/>
  <c r="J384" i="1"/>
  <c r="I377" i="1"/>
  <c r="F382" i="1"/>
  <c r="J389" i="1" l="1"/>
  <c r="J385" i="1"/>
  <c r="I378" i="1"/>
  <c r="I384" i="1"/>
  <c r="F381" i="1"/>
  <c r="F377" i="1" s="1"/>
  <c r="E382" i="1"/>
  <c r="I389" i="1" l="1"/>
  <c r="I385" i="1"/>
  <c r="F384" i="1"/>
  <c r="F378" i="1"/>
  <c r="E381" i="1"/>
  <c r="E377" i="1" s="1"/>
  <c r="D382" i="1"/>
  <c r="D381" i="1" s="1"/>
  <c r="D377" i="1" s="1"/>
  <c r="F385" i="1" l="1"/>
  <c r="F389" i="1"/>
  <c r="E384" i="1"/>
  <c r="E378" i="1"/>
  <c r="D384" i="1"/>
  <c r="D378" i="1"/>
  <c r="G377" i="1"/>
  <c r="E389" i="1" l="1"/>
  <c r="E385" i="1"/>
  <c r="G384" i="1"/>
  <c r="G385" i="1" s="1"/>
  <c r="D389" i="1"/>
  <c r="G389" i="1" s="1"/>
  <c r="D385" i="1"/>
  <c r="G381" i="1"/>
  <c r="G378" i="1"/>
  <c r="AK221" i="1" l="1"/>
  <c r="AH222" i="1"/>
  <c r="AH259" i="1"/>
  <c r="AK259" i="1"/>
  <c r="AK260" i="1" s="1"/>
  <c r="AH260" i="1"/>
  <c r="AK237" i="1" l="1"/>
  <c r="AK222" i="1"/>
  <c r="AL237" i="1"/>
  <c r="AK238" i="1"/>
  <c r="AM237" i="1" l="1"/>
  <c r="AN237" i="1" l="1"/>
  <c r="AL259" i="1"/>
  <c r="AL260" i="1" s="1"/>
  <c r="AL222" i="1"/>
  <c r="AM259" i="1" l="1"/>
  <c r="AM260" i="1" s="1"/>
  <c r="AM222" i="1"/>
  <c r="AO237" i="1"/>
  <c r="AP237" i="1" l="1"/>
  <c r="AN259" i="1"/>
  <c r="AN260" i="1" s="1"/>
  <c r="AN222" i="1"/>
  <c r="AO259" i="1" l="1"/>
  <c r="AO260" i="1" s="1"/>
  <c r="AO222" i="1"/>
  <c r="AQ237" i="1"/>
  <c r="AR237" i="1" l="1"/>
  <c r="AP259" i="1"/>
  <c r="AP260" i="1" s="1"/>
  <c r="AP222" i="1"/>
  <c r="AQ259" i="1" l="1"/>
  <c r="AQ260" i="1" s="1"/>
  <c r="AQ222" i="1"/>
  <c r="AS237" i="1"/>
  <c r="AR259" i="1" l="1"/>
  <c r="AR260" i="1" s="1"/>
  <c r="AR222" i="1"/>
  <c r="AT237" i="1"/>
  <c r="AT259" i="1" l="1"/>
  <c r="AT222" i="1"/>
  <c r="AS222" i="1"/>
  <c r="AS259" i="1"/>
  <c r="AS260" i="1" s="1"/>
  <c r="AT260" i="1" l="1"/>
  <c r="AH226" i="1" l="1"/>
  <c r="AH229" i="1"/>
  <c r="AH230" i="1" s="1"/>
  <c r="AH218" i="1" l="1"/>
  <c r="AH231" i="1" s="1"/>
  <c r="AK225" i="1"/>
  <c r="AH235" i="1"/>
  <c r="AH272" i="1"/>
  <c r="AH282" i="1"/>
  <c r="AK229" i="1"/>
  <c r="AH262" i="1"/>
  <c r="AH219" i="1" l="1"/>
  <c r="AH223" i="1"/>
  <c r="AK218" i="1"/>
  <c r="AH227" i="1"/>
  <c r="AK240" i="1"/>
  <c r="AK234" i="1"/>
  <c r="AK235" i="1" s="1"/>
  <c r="AK226" i="1"/>
  <c r="AH267" i="1"/>
  <c r="AH273" i="1"/>
  <c r="AK272" i="1"/>
  <c r="AK273" i="1" s="1"/>
  <c r="AH277" i="1"/>
  <c r="AH283" i="1"/>
  <c r="AK282" i="1"/>
  <c r="AK283" i="1" s="1"/>
  <c r="AK232" i="1"/>
  <c r="AL232" i="1" s="1"/>
  <c r="AK230" i="1"/>
  <c r="AH256" i="1"/>
  <c r="AH263" i="1"/>
  <c r="AK262" i="1"/>
  <c r="AK263" i="1" s="1"/>
  <c r="AK231" i="1" l="1"/>
  <c r="AK227" i="1"/>
  <c r="AK219" i="1"/>
  <c r="AK223" i="1"/>
  <c r="AK241" i="1"/>
  <c r="AL240" i="1"/>
  <c r="AH174" i="1"/>
  <c r="AH268" i="1"/>
  <c r="AK267" i="1"/>
  <c r="AH182" i="1"/>
  <c r="AH278" i="1"/>
  <c r="AK277" i="1"/>
  <c r="AM232" i="1"/>
  <c r="AH250" i="1"/>
  <c r="AH257" i="1"/>
  <c r="AK256" i="1"/>
  <c r="AK257" i="1" s="1"/>
  <c r="AM240" i="1" l="1"/>
  <c r="AK174" i="1"/>
  <c r="AH175" i="1"/>
  <c r="AK270" i="1"/>
  <c r="AL270" i="1" s="1"/>
  <c r="AK268" i="1"/>
  <c r="AK182" i="1"/>
  <c r="AH183" i="1"/>
  <c r="AK280" i="1"/>
  <c r="AL280" i="1" s="1"/>
  <c r="AK278" i="1"/>
  <c r="AN232" i="1"/>
  <c r="AH170" i="1"/>
  <c r="AH254" i="1"/>
  <c r="AH251" i="1"/>
  <c r="AK250" i="1"/>
  <c r="AL229" i="1" l="1"/>
  <c r="AL218" i="1" s="1"/>
  <c r="AL227" i="1" s="1"/>
  <c r="AL282" i="1"/>
  <c r="AL272" i="1"/>
  <c r="AL226" i="1"/>
  <c r="AN240" i="1"/>
  <c r="AK175" i="1"/>
  <c r="AM270" i="1"/>
  <c r="AK183" i="1"/>
  <c r="AM280" i="1"/>
  <c r="AO232" i="1"/>
  <c r="AH167" i="1"/>
  <c r="AH172" i="1" s="1"/>
  <c r="AK170" i="1"/>
  <c r="AH171" i="1"/>
  <c r="AK254" i="1"/>
  <c r="AK253" i="1"/>
  <c r="AL253" i="1" s="1"/>
  <c r="AK251" i="1"/>
  <c r="AL273" i="1" l="1"/>
  <c r="AL267" i="1"/>
  <c r="AL283" i="1"/>
  <c r="AL277" i="1"/>
  <c r="AL230" i="1"/>
  <c r="AL231" i="1"/>
  <c r="AL262" i="1"/>
  <c r="AL219" i="1"/>
  <c r="AL223" i="1"/>
  <c r="AM229" i="1"/>
  <c r="AM218" i="1" s="1"/>
  <c r="AM227" i="1" s="1"/>
  <c r="AM282" i="1"/>
  <c r="AM272" i="1"/>
  <c r="AM226" i="1"/>
  <c r="AO240" i="1"/>
  <c r="AN270" i="1"/>
  <c r="AN280" i="1"/>
  <c r="AP232" i="1"/>
  <c r="AH184" i="1"/>
  <c r="AH176" i="1"/>
  <c r="AH252" i="1"/>
  <c r="AH279" i="1"/>
  <c r="AH269" i="1"/>
  <c r="AH10" i="1"/>
  <c r="AK167" i="1"/>
  <c r="AK172" i="1" s="1"/>
  <c r="AH188" i="1"/>
  <c r="AH190" i="1"/>
  <c r="AH180" i="1"/>
  <c r="AH168" i="1"/>
  <c r="AK171" i="1"/>
  <c r="AM253" i="1"/>
  <c r="AL182" i="1" l="1"/>
  <c r="AL278" i="1"/>
  <c r="AL174" i="1"/>
  <c r="AL175" i="1" s="1"/>
  <c r="AL268" i="1"/>
  <c r="AM273" i="1"/>
  <c r="AM267" i="1"/>
  <c r="AL256" i="1"/>
  <c r="AL263" i="1"/>
  <c r="AM230" i="1"/>
  <c r="AM231" i="1"/>
  <c r="AM262" i="1"/>
  <c r="AM223" i="1"/>
  <c r="AM219" i="1"/>
  <c r="AN229" i="1"/>
  <c r="AN218" i="1" s="1"/>
  <c r="AN227" i="1" s="1"/>
  <c r="AN226" i="1"/>
  <c r="AN282" i="1"/>
  <c r="AN272" i="1"/>
  <c r="AP240" i="1"/>
  <c r="AO270" i="1"/>
  <c r="AL183" i="1"/>
  <c r="AO280" i="1"/>
  <c r="AQ232" i="1"/>
  <c r="AH11" i="1"/>
  <c r="AK10" i="1"/>
  <c r="AK11" i="1" s="1"/>
  <c r="AK184" i="1"/>
  <c r="AK252" i="1"/>
  <c r="AK176" i="1"/>
  <c r="AK279" i="1"/>
  <c r="AK269" i="1"/>
  <c r="AK180" i="1"/>
  <c r="AK188" i="1"/>
  <c r="AK168" i="1"/>
  <c r="AN253" i="1"/>
  <c r="AM283" i="1"/>
  <c r="AM277" i="1"/>
  <c r="AK190" i="1"/>
  <c r="AK191" i="1" s="1"/>
  <c r="AL191" i="1" s="1"/>
  <c r="AH199" i="1"/>
  <c r="AM174" i="1" l="1"/>
  <c r="AM175" i="1" s="1"/>
  <c r="AM268" i="1"/>
  <c r="AN273" i="1"/>
  <c r="AN267" i="1"/>
  <c r="AN283" i="1"/>
  <c r="AN277" i="1"/>
  <c r="AL250" i="1"/>
  <c r="AL257" i="1"/>
  <c r="AM256" i="1"/>
  <c r="AM263" i="1"/>
  <c r="AN231" i="1"/>
  <c r="AN262" i="1"/>
  <c r="AN230" i="1"/>
  <c r="AN223" i="1"/>
  <c r="AN219" i="1"/>
  <c r="AO229" i="1"/>
  <c r="AO218" i="1" s="1"/>
  <c r="AO227" i="1" s="1"/>
  <c r="AO282" i="1"/>
  <c r="AO272" i="1"/>
  <c r="AO226" i="1"/>
  <c r="AQ240" i="1"/>
  <c r="AP270" i="1"/>
  <c r="AP280" i="1"/>
  <c r="AR232" i="1"/>
  <c r="AO253" i="1"/>
  <c r="AM278" i="1"/>
  <c r="AM182" i="1"/>
  <c r="AM191" i="1"/>
  <c r="AH200" i="1"/>
  <c r="AH16" i="1"/>
  <c r="AK199" i="1"/>
  <c r="AK200" i="1" s="1"/>
  <c r="AN174" i="1" l="1"/>
  <c r="AN175" i="1" s="1"/>
  <c r="AN268" i="1"/>
  <c r="AN182" i="1"/>
  <c r="AN183" i="1" s="1"/>
  <c r="AN278" i="1"/>
  <c r="AO273" i="1"/>
  <c r="AO267" i="1"/>
  <c r="AL251" i="1"/>
  <c r="AL254" i="1"/>
  <c r="AL170" i="1"/>
  <c r="AM250" i="1"/>
  <c r="AM257" i="1"/>
  <c r="AN256" i="1"/>
  <c r="AN263" i="1"/>
  <c r="AO230" i="1"/>
  <c r="AO231" i="1"/>
  <c r="AO262" i="1"/>
  <c r="AO223" i="1"/>
  <c r="AO219" i="1"/>
  <c r="AP229" i="1"/>
  <c r="AP218" i="1" s="1"/>
  <c r="AP227" i="1" s="1"/>
  <c r="AP226" i="1"/>
  <c r="AP282" i="1"/>
  <c r="AP272" i="1"/>
  <c r="AR240" i="1"/>
  <c r="AQ270" i="1"/>
  <c r="AQ280" i="1"/>
  <c r="AS232" i="1"/>
  <c r="AP253" i="1"/>
  <c r="AM183" i="1"/>
  <c r="AN191" i="1"/>
  <c r="AH202" i="1"/>
  <c r="AH21" i="1"/>
  <c r="AK16" i="1"/>
  <c r="AH13" i="1"/>
  <c r="AH461" i="1"/>
  <c r="AH439" i="1"/>
  <c r="AH413" i="1"/>
  <c r="AH391" i="1"/>
  <c r="AH388" i="1"/>
  <c r="AH378" i="1"/>
  <c r="AH338" i="1"/>
  <c r="AH319" i="1" s="1"/>
  <c r="AJ303" i="1"/>
  <c r="AI303" i="1"/>
  <c r="AI77" i="1" s="1"/>
  <c r="AH303" i="1"/>
  <c r="AH77" i="1" s="1"/>
  <c r="AJ300" i="1"/>
  <c r="AI300" i="1"/>
  <c r="AI73" i="1" s="1"/>
  <c r="AH300" i="1"/>
  <c r="AH73" i="1" s="1"/>
  <c r="AJ297" i="1"/>
  <c r="AI297" i="1"/>
  <c r="AI70" i="1" s="1"/>
  <c r="AH297" i="1"/>
  <c r="AH70" i="1" s="1"/>
  <c r="AJ294" i="1"/>
  <c r="AI294" i="1"/>
  <c r="AI56" i="1" s="1"/>
  <c r="AH294" i="1"/>
  <c r="AH56" i="1" s="1"/>
  <c r="AJ291" i="1"/>
  <c r="AI291" i="1"/>
  <c r="AH291" i="1"/>
  <c r="AH27" i="1"/>
  <c r="AK27" i="1" s="1"/>
  <c r="AH24" i="1"/>
  <c r="AK24" i="1" s="1"/>
  <c r="AH17" i="1"/>
  <c r="AO283" i="1"/>
  <c r="AO277" i="1"/>
  <c r="AO174" i="1" l="1"/>
  <c r="AO268" i="1"/>
  <c r="AP283" i="1"/>
  <c r="AP277" i="1"/>
  <c r="AP273" i="1"/>
  <c r="AP267" i="1"/>
  <c r="AL167" i="1"/>
  <c r="AL172" i="1" s="1"/>
  <c r="AL171" i="1"/>
  <c r="AM251" i="1"/>
  <c r="AM254" i="1"/>
  <c r="AM170" i="1"/>
  <c r="AN250" i="1"/>
  <c r="AN257" i="1"/>
  <c r="AO256" i="1"/>
  <c r="AO263" i="1"/>
  <c r="AP230" i="1"/>
  <c r="AP231" i="1"/>
  <c r="AP262" i="1"/>
  <c r="AP219" i="1"/>
  <c r="AP223" i="1"/>
  <c r="AQ229" i="1"/>
  <c r="AQ218" i="1" s="1"/>
  <c r="AQ227" i="1" s="1"/>
  <c r="AQ282" i="1"/>
  <c r="AQ272" i="1"/>
  <c r="AQ226" i="1"/>
  <c r="AS240" i="1"/>
  <c r="AO175" i="1"/>
  <c r="AP174" i="1"/>
  <c r="AP268" i="1"/>
  <c r="AR270" i="1"/>
  <c r="AR280" i="1"/>
  <c r="AT232" i="1"/>
  <c r="AQ253" i="1"/>
  <c r="AO191" i="1"/>
  <c r="AH30" i="1"/>
  <c r="AK21" i="1"/>
  <c r="AK22" i="1" s="1"/>
  <c r="AL22" i="1" s="1"/>
  <c r="AH19" i="1"/>
  <c r="AK19" i="1" s="1"/>
  <c r="AK202" i="1"/>
  <c r="AK17" i="1"/>
  <c r="AK13" i="1"/>
  <c r="AK14" i="1" s="1"/>
  <c r="AH14" i="1"/>
  <c r="AH372" i="1"/>
  <c r="AK372" i="1" s="1"/>
  <c r="AH96" i="1"/>
  <c r="AK96" i="1" s="1"/>
  <c r="E20" i="4" s="1"/>
  <c r="AH448" i="1"/>
  <c r="AJ416" i="1"/>
  <c r="AI416" i="1"/>
  <c r="AI417" i="1" s="1"/>
  <c r="AH416" i="1"/>
  <c r="AH417" i="1" s="1"/>
  <c r="AK391" i="1"/>
  <c r="AK392" i="1" s="1"/>
  <c r="AL392" i="1" s="1"/>
  <c r="AH316" i="1"/>
  <c r="AK319" i="1"/>
  <c r="AJ77" i="1"/>
  <c r="AK77" i="1" s="1"/>
  <c r="AK303" i="1"/>
  <c r="AJ73" i="1"/>
  <c r="AK73" i="1" s="1"/>
  <c r="AK300" i="1"/>
  <c r="AJ70" i="1"/>
  <c r="AK297" i="1"/>
  <c r="AJ56" i="1"/>
  <c r="AK56" i="1" s="1"/>
  <c r="AK294" i="1"/>
  <c r="AJ287" i="1"/>
  <c r="AJ55" i="1"/>
  <c r="AK291" i="1"/>
  <c r="AI287" i="1"/>
  <c r="AI55" i="1"/>
  <c r="AI53" i="1" s="1"/>
  <c r="AH287" i="1"/>
  <c r="AH55" i="1"/>
  <c r="AH53" i="1" s="1"/>
  <c r="AO278" i="1"/>
  <c r="AO182" i="1"/>
  <c r="AK28" i="1"/>
  <c r="AL28" i="1" s="1"/>
  <c r="AK25" i="1"/>
  <c r="AL25" i="1" s="1"/>
  <c r="AP182" i="1" l="1"/>
  <c r="AP183" i="1" s="1"/>
  <c r="AP278" i="1"/>
  <c r="AQ283" i="1"/>
  <c r="AQ277" i="1"/>
  <c r="AQ273" i="1"/>
  <c r="AQ267" i="1"/>
  <c r="AL252" i="1"/>
  <c r="AL190" i="1"/>
  <c r="AL199" i="1" s="1"/>
  <c r="AL184" i="1"/>
  <c r="AL176" i="1"/>
  <c r="AL269" i="1"/>
  <c r="AL279" i="1"/>
  <c r="AL10" i="1"/>
  <c r="AL11" i="1" s="1"/>
  <c r="AL180" i="1"/>
  <c r="AL188" i="1"/>
  <c r="AL168" i="1"/>
  <c r="AM167" i="1"/>
  <c r="AM172" i="1" s="1"/>
  <c r="AM171" i="1"/>
  <c r="AN251" i="1"/>
  <c r="AN254" i="1"/>
  <c r="AN170" i="1"/>
  <c r="AO250" i="1"/>
  <c r="AO257" i="1"/>
  <c r="AP256" i="1"/>
  <c r="AP263" i="1"/>
  <c r="AQ230" i="1"/>
  <c r="AQ231" i="1"/>
  <c r="AQ262" i="1"/>
  <c r="AQ223" i="1"/>
  <c r="AQ219" i="1"/>
  <c r="AR229" i="1"/>
  <c r="AR218" i="1" s="1"/>
  <c r="AR227" i="1" s="1"/>
  <c r="AR282" i="1"/>
  <c r="AR272" i="1"/>
  <c r="AR226" i="1"/>
  <c r="AT240" i="1"/>
  <c r="AP175" i="1"/>
  <c r="AS270" i="1"/>
  <c r="AS280" i="1"/>
  <c r="AR253" i="1"/>
  <c r="AP191" i="1"/>
  <c r="AI131" i="1"/>
  <c r="AH35" i="1"/>
  <c r="AJ131" i="1"/>
  <c r="AH131" i="1"/>
  <c r="AH91" i="1"/>
  <c r="AH31" i="1"/>
  <c r="AK30" i="1"/>
  <c r="AK31" i="1" s="1"/>
  <c r="AM22" i="1"/>
  <c r="AH447" i="1"/>
  <c r="AH457" i="1"/>
  <c r="AK448" i="1"/>
  <c r="AJ417" i="1"/>
  <c r="AK417" i="1" s="1"/>
  <c r="AK416" i="1"/>
  <c r="AM392" i="1"/>
  <c r="AH308" i="1"/>
  <c r="AK70" i="1"/>
  <c r="AJ117" i="1"/>
  <c r="AJ94" i="1"/>
  <c r="AJ289" i="1"/>
  <c r="AK289" i="1" s="1"/>
  <c r="AJ288" i="1"/>
  <c r="AK288" i="1" s="1"/>
  <c r="AK287" i="1"/>
  <c r="AJ53" i="1"/>
  <c r="AK55" i="1"/>
  <c r="AI117" i="1"/>
  <c r="AI94" i="1"/>
  <c r="AI289" i="1"/>
  <c r="AI288" i="1"/>
  <c r="AH117" i="1"/>
  <c r="AH94" i="1"/>
  <c r="AH289" i="1"/>
  <c r="AH288" i="1"/>
  <c r="AO183" i="1"/>
  <c r="AM28" i="1"/>
  <c r="AM25" i="1"/>
  <c r="AR273" i="1" l="1"/>
  <c r="AR267" i="1"/>
  <c r="AQ182" i="1"/>
  <c r="AQ278" i="1"/>
  <c r="AQ174" i="1"/>
  <c r="AQ268" i="1"/>
  <c r="AK117" i="1"/>
  <c r="AK94" i="1"/>
  <c r="E18" i="4" s="1"/>
  <c r="AL16" i="1"/>
  <c r="AL200" i="1"/>
  <c r="AM252" i="1"/>
  <c r="AM190" i="1"/>
  <c r="AM199" i="1" s="1"/>
  <c r="AM184" i="1"/>
  <c r="AM176" i="1"/>
  <c r="AM279" i="1"/>
  <c r="AM269" i="1"/>
  <c r="AM168" i="1"/>
  <c r="AM188" i="1"/>
  <c r="AM180" i="1"/>
  <c r="AM10" i="1"/>
  <c r="AM11" i="1" s="1"/>
  <c r="AN167" i="1"/>
  <c r="AN172" i="1" s="1"/>
  <c r="AN171" i="1"/>
  <c r="AO251" i="1"/>
  <c r="AO254" i="1"/>
  <c r="AO170" i="1"/>
  <c r="AP250" i="1"/>
  <c r="AP257" i="1"/>
  <c r="AQ256" i="1"/>
  <c r="AQ263" i="1"/>
  <c r="AR230" i="1"/>
  <c r="AR231" i="1"/>
  <c r="AR262" i="1"/>
  <c r="AR219" i="1"/>
  <c r="AR223" i="1"/>
  <c r="AS229" i="1"/>
  <c r="AS218" i="1" s="1"/>
  <c r="AS227" i="1" s="1"/>
  <c r="AS282" i="1"/>
  <c r="AS272" i="1"/>
  <c r="AS226" i="1"/>
  <c r="AT229" i="1"/>
  <c r="AT218" i="1" s="1"/>
  <c r="AT227" i="1" s="1"/>
  <c r="AT226" i="1"/>
  <c r="AT282" i="1"/>
  <c r="AT272" i="1"/>
  <c r="AQ175" i="1"/>
  <c r="AR174" i="1"/>
  <c r="AR268" i="1"/>
  <c r="AT270" i="1"/>
  <c r="AT267" i="1" s="1"/>
  <c r="AQ183" i="1"/>
  <c r="AT280" i="1"/>
  <c r="AS253" i="1"/>
  <c r="AQ191" i="1"/>
  <c r="AI133" i="1"/>
  <c r="AI146" i="1"/>
  <c r="AH113" i="1"/>
  <c r="AH36" i="1"/>
  <c r="AJ146" i="1"/>
  <c r="AK146" i="1" s="1"/>
  <c r="AJ133" i="1"/>
  <c r="AK133" i="1" s="1"/>
  <c r="AK131" i="1"/>
  <c r="AH146" i="1"/>
  <c r="AH133" i="1"/>
  <c r="AK91" i="1"/>
  <c r="E15" i="4" s="1"/>
  <c r="AN22" i="1"/>
  <c r="AH66" i="1"/>
  <c r="AH116" i="1" s="1"/>
  <c r="AI460" i="1"/>
  <c r="AH452" i="1"/>
  <c r="AH458" i="1"/>
  <c r="AK457" i="1"/>
  <c r="AK458" i="1" s="1"/>
  <c r="AN392" i="1"/>
  <c r="AH38" i="1"/>
  <c r="AH40" i="1" s="1"/>
  <c r="AK53" i="1"/>
  <c r="AN28" i="1"/>
  <c r="AN25" i="1"/>
  <c r="AR283" i="1"/>
  <c r="AR277" i="1"/>
  <c r="AT283" i="1" l="1"/>
  <c r="AS283" i="1"/>
  <c r="AS277" i="1"/>
  <c r="AS273" i="1"/>
  <c r="AS267" i="1"/>
  <c r="AT273" i="1"/>
  <c r="AT277" i="1"/>
  <c r="AL24" i="1"/>
  <c r="AL27" i="1"/>
  <c r="AL391" i="1"/>
  <c r="AL21" i="1"/>
  <c r="AL13" i="1"/>
  <c r="AL14" i="1" s="1"/>
  <c r="AL338" i="1"/>
  <c r="AL319" i="1" s="1"/>
  <c r="AL303" i="1"/>
  <c r="AL77" i="1" s="1"/>
  <c r="AL300" i="1"/>
  <c r="AL73" i="1" s="1"/>
  <c r="AL297" i="1"/>
  <c r="AL70" i="1" s="1"/>
  <c r="AL294" i="1"/>
  <c r="AL56" i="1" s="1"/>
  <c r="AL291" i="1"/>
  <c r="AL202" i="1"/>
  <c r="AL17" i="1"/>
  <c r="AM200" i="1"/>
  <c r="AM16" i="1"/>
  <c r="AN252" i="1"/>
  <c r="AN190" i="1"/>
  <c r="AN199" i="1" s="1"/>
  <c r="AN184" i="1"/>
  <c r="AN176" i="1"/>
  <c r="AN269" i="1"/>
  <c r="AN279" i="1"/>
  <c r="AN168" i="1"/>
  <c r="AN10" i="1"/>
  <c r="AN11" i="1" s="1"/>
  <c r="AN188" i="1"/>
  <c r="AN180" i="1"/>
  <c r="AO167" i="1"/>
  <c r="AO172" i="1" s="1"/>
  <c r="AO171" i="1"/>
  <c r="AP251" i="1"/>
  <c r="AP254" i="1"/>
  <c r="AP170" i="1"/>
  <c r="AQ250" i="1"/>
  <c r="AQ257" i="1"/>
  <c r="AR256" i="1"/>
  <c r="AR263" i="1"/>
  <c r="AS230" i="1"/>
  <c r="AS231" i="1"/>
  <c r="AS262" i="1"/>
  <c r="AS219" i="1"/>
  <c r="AS223" i="1"/>
  <c r="AT230" i="1"/>
  <c r="AT231" i="1"/>
  <c r="AT262" i="1"/>
  <c r="AT223" i="1"/>
  <c r="AT219" i="1"/>
  <c r="AR175" i="1"/>
  <c r="AS174" i="1"/>
  <c r="AS268" i="1"/>
  <c r="AT174" i="1"/>
  <c r="AT268" i="1"/>
  <c r="AS182" i="1"/>
  <c r="AS278" i="1"/>
  <c r="AT182" i="1"/>
  <c r="AT278" i="1"/>
  <c r="AT253" i="1"/>
  <c r="AR191" i="1"/>
  <c r="AH120" i="1"/>
  <c r="AH469" i="1"/>
  <c r="AH41" i="1"/>
  <c r="AO22" i="1"/>
  <c r="AI449" i="1"/>
  <c r="AI461" i="1"/>
  <c r="AO392" i="1"/>
  <c r="AH92" i="1"/>
  <c r="AO28" i="1"/>
  <c r="AO25" i="1"/>
  <c r="AR278" i="1"/>
  <c r="AR182" i="1"/>
  <c r="AL416" i="1" l="1"/>
  <c r="AL417" i="1" s="1"/>
  <c r="AL448" i="1"/>
  <c r="AL457" i="1" s="1"/>
  <c r="AL458" i="1" s="1"/>
  <c r="AL96" i="1"/>
  <c r="F20" i="4" s="1"/>
  <c r="AL372" i="1"/>
  <c r="AL30" i="1"/>
  <c r="AL19" i="1"/>
  <c r="AL287" i="1"/>
  <c r="AL55" i="1"/>
  <c r="AL53" i="1" s="1"/>
  <c r="AM24" i="1"/>
  <c r="AM27" i="1"/>
  <c r="AM391" i="1"/>
  <c r="AM21" i="1"/>
  <c r="AM17" i="1"/>
  <c r="AM13" i="1"/>
  <c r="AM14" i="1" s="1"/>
  <c r="AM338" i="1"/>
  <c r="AM319" i="1" s="1"/>
  <c r="AM303" i="1"/>
  <c r="AM77" i="1" s="1"/>
  <c r="AM300" i="1"/>
  <c r="AM73" i="1" s="1"/>
  <c r="AM297" i="1"/>
  <c r="AM70" i="1" s="1"/>
  <c r="AM294" i="1"/>
  <c r="AM56" i="1" s="1"/>
  <c r="AM291" i="1"/>
  <c r="AM202" i="1"/>
  <c r="AN200" i="1"/>
  <c r="AN16" i="1"/>
  <c r="AO252" i="1"/>
  <c r="AO184" i="1"/>
  <c r="AO190" i="1"/>
  <c r="AO199" i="1" s="1"/>
  <c r="AO279" i="1"/>
  <c r="AO176" i="1"/>
  <c r="AO269" i="1"/>
  <c r="AO10" i="1"/>
  <c r="AO11" i="1" s="1"/>
  <c r="AO168" i="1"/>
  <c r="AO188" i="1"/>
  <c r="AO180" i="1"/>
  <c r="AP167" i="1"/>
  <c r="AP172" i="1" s="1"/>
  <c r="AP171" i="1"/>
  <c r="AQ251" i="1"/>
  <c r="AQ254" i="1"/>
  <c r="AQ170" i="1"/>
  <c r="AR250" i="1"/>
  <c r="AR257" i="1"/>
  <c r="AS256" i="1"/>
  <c r="AS263" i="1"/>
  <c r="AT256" i="1"/>
  <c r="AT263" i="1"/>
  <c r="AS175" i="1"/>
  <c r="AT175" i="1"/>
  <c r="AS183" i="1"/>
  <c r="AT183" i="1"/>
  <c r="AS191" i="1"/>
  <c r="AH482" i="1"/>
  <c r="AH475" i="1" s="1"/>
  <c r="AH472" i="1"/>
  <c r="AH478" i="1" s="1"/>
  <c r="AP22" i="1"/>
  <c r="AI447" i="1"/>
  <c r="AI515" i="1"/>
  <c r="AP392" i="1"/>
  <c r="AP28" i="1"/>
  <c r="AP25" i="1"/>
  <c r="AR183" i="1"/>
  <c r="AL131" i="1" l="1"/>
  <c r="AL91" i="1"/>
  <c r="AL31" i="1"/>
  <c r="AL117" i="1"/>
  <c r="AL94" i="1"/>
  <c r="F18" i="4" s="1"/>
  <c r="AL289" i="1"/>
  <c r="AL288" i="1"/>
  <c r="AM416" i="1"/>
  <c r="AM417" i="1" s="1"/>
  <c r="AM448" i="1"/>
  <c r="AM457" i="1" s="1"/>
  <c r="AM458" i="1" s="1"/>
  <c r="AM96" i="1"/>
  <c r="G20" i="4" s="1"/>
  <c r="AM372" i="1"/>
  <c r="AM30" i="1"/>
  <c r="AM19" i="1"/>
  <c r="AM287" i="1"/>
  <c r="AM55" i="1"/>
  <c r="AM53" i="1" s="1"/>
  <c r="AN21" i="1"/>
  <c r="AN24" i="1"/>
  <c r="AN27" i="1"/>
  <c r="AN391" i="1"/>
  <c r="AN13" i="1"/>
  <c r="AN14" i="1" s="1"/>
  <c r="AN202" i="1"/>
  <c r="AN338" i="1"/>
  <c r="AN319" i="1" s="1"/>
  <c r="AN303" i="1"/>
  <c r="AN77" i="1" s="1"/>
  <c r="AN300" i="1"/>
  <c r="AN73" i="1" s="1"/>
  <c r="AN297" i="1"/>
  <c r="AN70" i="1" s="1"/>
  <c r="AN294" i="1"/>
  <c r="AN56" i="1" s="1"/>
  <c r="AN291" i="1"/>
  <c r="AN17" i="1"/>
  <c r="AO16" i="1"/>
  <c r="AO200" i="1"/>
  <c r="AP252" i="1"/>
  <c r="AP190" i="1"/>
  <c r="AP199" i="1" s="1"/>
  <c r="AP184" i="1"/>
  <c r="AP176" i="1"/>
  <c r="AP279" i="1"/>
  <c r="AP269" i="1"/>
  <c r="AP180" i="1"/>
  <c r="AP10" i="1"/>
  <c r="AP11" i="1" s="1"/>
  <c r="AP188" i="1"/>
  <c r="AP168" i="1"/>
  <c r="AQ167" i="1"/>
  <c r="AQ172" i="1" s="1"/>
  <c r="AQ171" i="1"/>
  <c r="AR251" i="1"/>
  <c r="AR254" i="1"/>
  <c r="AR170" i="1"/>
  <c r="AS250" i="1"/>
  <c r="AS257" i="1"/>
  <c r="AT250" i="1"/>
  <c r="AT257" i="1"/>
  <c r="AT191" i="1"/>
  <c r="AH43" i="1"/>
  <c r="AH479" i="1"/>
  <c r="AQ22" i="1"/>
  <c r="AI452" i="1"/>
  <c r="AJ460" i="1"/>
  <c r="AI66" i="1"/>
  <c r="AI116" i="1" s="1"/>
  <c r="AQ392" i="1"/>
  <c r="AQ28" i="1"/>
  <c r="AQ25" i="1"/>
  <c r="AL146" i="1" l="1"/>
  <c r="AL133" i="1"/>
  <c r="F15" i="4"/>
  <c r="AM131" i="1"/>
  <c r="AM91" i="1"/>
  <c r="AM31" i="1"/>
  <c r="AM94" i="1"/>
  <c r="G18" i="4" s="1"/>
  <c r="AM117" i="1"/>
  <c r="AM289" i="1"/>
  <c r="AM288" i="1"/>
  <c r="AN30" i="1"/>
  <c r="AN19" i="1"/>
  <c r="AN416" i="1"/>
  <c r="AN417" i="1" s="1"/>
  <c r="AN448" i="1"/>
  <c r="AN457" i="1" s="1"/>
  <c r="AN458" i="1" s="1"/>
  <c r="AN96" i="1"/>
  <c r="H20" i="4" s="1"/>
  <c r="AN372" i="1"/>
  <c r="AN287" i="1"/>
  <c r="AN55" i="1"/>
  <c r="AN53" i="1" s="1"/>
  <c r="AO24" i="1"/>
  <c r="AO27" i="1"/>
  <c r="AO391" i="1"/>
  <c r="AO21" i="1"/>
  <c r="AO13" i="1"/>
  <c r="AO14" i="1" s="1"/>
  <c r="AO338" i="1"/>
  <c r="AO319" i="1" s="1"/>
  <c r="AO303" i="1"/>
  <c r="AO77" i="1" s="1"/>
  <c r="AO300" i="1"/>
  <c r="AO73" i="1" s="1"/>
  <c r="AO297" i="1"/>
  <c r="AO70" i="1" s="1"/>
  <c r="AO294" i="1"/>
  <c r="AO56" i="1" s="1"/>
  <c r="AO291" i="1"/>
  <c r="AO202" i="1"/>
  <c r="AO17" i="1"/>
  <c r="AP16" i="1"/>
  <c r="AP200" i="1"/>
  <c r="AQ252" i="1"/>
  <c r="AQ190" i="1"/>
  <c r="AQ199" i="1" s="1"/>
  <c r="AQ184" i="1"/>
  <c r="AQ176" i="1"/>
  <c r="AQ279" i="1"/>
  <c r="AQ269" i="1"/>
  <c r="AQ168" i="1"/>
  <c r="AQ10" i="1"/>
  <c r="AQ11" i="1" s="1"/>
  <c r="AQ188" i="1"/>
  <c r="AQ180" i="1"/>
  <c r="AR167" i="1"/>
  <c r="AR172" i="1" s="1"/>
  <c r="AR171" i="1"/>
  <c r="AS251" i="1"/>
  <c r="AS254" i="1"/>
  <c r="AS170" i="1"/>
  <c r="AT251" i="1"/>
  <c r="AT254" i="1"/>
  <c r="AT170" i="1"/>
  <c r="AH46" i="1"/>
  <c r="AH44" i="1"/>
  <c r="AH93" i="1"/>
  <c r="AR22" i="1"/>
  <c r="AK460" i="1"/>
  <c r="AJ449" i="1"/>
  <c r="AJ461" i="1"/>
  <c r="AR392" i="1"/>
  <c r="AR28" i="1"/>
  <c r="AR25" i="1"/>
  <c r="AM146" i="1" l="1"/>
  <c r="AM133" i="1"/>
  <c r="G15" i="4"/>
  <c r="AN91" i="1"/>
  <c r="AN131" i="1"/>
  <c r="AN31" i="1"/>
  <c r="AN117" i="1"/>
  <c r="AN94" i="1"/>
  <c r="H18" i="4" s="1"/>
  <c r="AN289" i="1"/>
  <c r="AN288" i="1"/>
  <c r="AO416" i="1"/>
  <c r="AO417" i="1" s="1"/>
  <c r="AO448" i="1"/>
  <c r="AO457" i="1" s="1"/>
  <c r="AO458" i="1" s="1"/>
  <c r="AO96" i="1"/>
  <c r="I20" i="4" s="1"/>
  <c r="AO372" i="1"/>
  <c r="AO30" i="1"/>
  <c r="AO19" i="1"/>
  <c r="AO287" i="1"/>
  <c r="AO55" i="1"/>
  <c r="AO53" i="1" s="1"/>
  <c r="AP21" i="1"/>
  <c r="AP391" i="1"/>
  <c r="AP24" i="1"/>
  <c r="AP27" i="1"/>
  <c r="AP13" i="1"/>
  <c r="AP14" i="1" s="1"/>
  <c r="AP338" i="1"/>
  <c r="AP319" i="1" s="1"/>
  <c r="AP303" i="1"/>
  <c r="AP77" i="1" s="1"/>
  <c r="AP300" i="1"/>
  <c r="AP73" i="1" s="1"/>
  <c r="AP297" i="1"/>
  <c r="AP70" i="1" s="1"/>
  <c r="AP294" i="1"/>
  <c r="AP56" i="1" s="1"/>
  <c r="AP291" i="1"/>
  <c r="AP202" i="1"/>
  <c r="AP17" i="1"/>
  <c r="AQ16" i="1"/>
  <c r="AQ200" i="1"/>
  <c r="AR252" i="1"/>
  <c r="AR184" i="1"/>
  <c r="AR190" i="1"/>
  <c r="AR199" i="1" s="1"/>
  <c r="AR279" i="1"/>
  <c r="AR176" i="1"/>
  <c r="AR269" i="1"/>
  <c r="AR10" i="1"/>
  <c r="AR11" i="1" s="1"/>
  <c r="AR168" i="1"/>
  <c r="AR188" i="1"/>
  <c r="AR180" i="1"/>
  <c r="AS167" i="1"/>
  <c r="AS172" i="1" s="1"/>
  <c r="AS171" i="1"/>
  <c r="AT167" i="1"/>
  <c r="AT172" i="1" s="1"/>
  <c r="AT171" i="1"/>
  <c r="AH48" i="1"/>
  <c r="AH47" i="1"/>
  <c r="AS22" i="1"/>
  <c r="AK461" i="1"/>
  <c r="AK462" i="1"/>
  <c r="AL462" i="1" s="1"/>
  <c r="AJ447" i="1"/>
  <c r="AK449" i="1"/>
  <c r="AK515" i="1" s="1"/>
  <c r="AJ515" i="1"/>
  <c r="AS392" i="1"/>
  <c r="AS28" i="1"/>
  <c r="AS25" i="1"/>
  <c r="H15" i="4" l="1"/>
  <c r="AN146" i="1"/>
  <c r="AN133" i="1"/>
  <c r="AO131" i="1"/>
  <c r="AO91" i="1"/>
  <c r="AO31" i="1"/>
  <c r="AO94" i="1"/>
  <c r="I18" i="4" s="1"/>
  <c r="AO117" i="1"/>
  <c r="AO289" i="1"/>
  <c r="AO288" i="1"/>
  <c r="AP30" i="1"/>
  <c r="AP19" i="1"/>
  <c r="AP416" i="1"/>
  <c r="AP417" i="1" s="1"/>
  <c r="AP448" i="1"/>
  <c r="AP457" i="1" s="1"/>
  <c r="AP458" i="1" s="1"/>
  <c r="AP96" i="1"/>
  <c r="J20" i="4" s="1"/>
  <c r="AP372" i="1"/>
  <c r="AP287" i="1"/>
  <c r="AP55" i="1"/>
  <c r="AP53" i="1" s="1"/>
  <c r="AQ24" i="1"/>
  <c r="AQ27" i="1"/>
  <c r="AQ391" i="1"/>
  <c r="AQ21" i="1"/>
  <c r="AQ202" i="1"/>
  <c r="AQ17" i="1"/>
  <c r="AQ13" i="1"/>
  <c r="AQ14" i="1" s="1"/>
  <c r="AQ338" i="1"/>
  <c r="AQ319" i="1" s="1"/>
  <c r="AQ303" i="1"/>
  <c r="AQ77" i="1" s="1"/>
  <c r="AQ300" i="1"/>
  <c r="AQ73" i="1" s="1"/>
  <c r="AQ297" i="1"/>
  <c r="AQ70" i="1" s="1"/>
  <c r="AQ294" i="1"/>
  <c r="AQ56" i="1" s="1"/>
  <c r="AQ291" i="1"/>
  <c r="AR16" i="1"/>
  <c r="AR200" i="1"/>
  <c r="AS252" i="1"/>
  <c r="AS190" i="1"/>
  <c r="AS199" i="1" s="1"/>
  <c r="AS184" i="1"/>
  <c r="AS176" i="1"/>
  <c r="AS279" i="1"/>
  <c r="AS269" i="1"/>
  <c r="AS188" i="1"/>
  <c r="AS180" i="1"/>
  <c r="AS10" i="1"/>
  <c r="AS11" i="1" s="1"/>
  <c r="AS168" i="1"/>
  <c r="AT252" i="1"/>
  <c r="AT190" i="1"/>
  <c r="AT184" i="1"/>
  <c r="AT176" i="1"/>
  <c r="AT279" i="1"/>
  <c r="AT269" i="1"/>
  <c r="AT199" i="1"/>
  <c r="AT10" i="1"/>
  <c r="AT188" i="1"/>
  <c r="AT180" i="1"/>
  <c r="AT168" i="1"/>
  <c r="AT22" i="1"/>
  <c r="AM462" i="1"/>
  <c r="AK447" i="1"/>
  <c r="AL460" i="1" s="1"/>
  <c r="AJ452" i="1"/>
  <c r="AK452" i="1" s="1"/>
  <c r="AJ66" i="1"/>
  <c r="AT392" i="1"/>
  <c r="AT28" i="1"/>
  <c r="AT25" i="1"/>
  <c r="AO146" i="1" l="1"/>
  <c r="AO133" i="1"/>
  <c r="I15" i="4"/>
  <c r="AP91" i="1"/>
  <c r="AP131" i="1"/>
  <c r="AP31" i="1"/>
  <c r="AP117" i="1"/>
  <c r="AP94" i="1"/>
  <c r="J18" i="4" s="1"/>
  <c r="AP289" i="1"/>
  <c r="AP288" i="1"/>
  <c r="AQ416" i="1"/>
  <c r="AQ417" i="1" s="1"/>
  <c r="AQ448" i="1"/>
  <c r="AQ457" i="1" s="1"/>
  <c r="AQ458" i="1" s="1"/>
  <c r="AQ96" i="1"/>
  <c r="K20" i="4" s="1"/>
  <c r="AQ372" i="1"/>
  <c r="AQ30" i="1"/>
  <c r="AQ19" i="1"/>
  <c r="AQ287" i="1"/>
  <c r="AQ55" i="1"/>
  <c r="AQ53" i="1" s="1"/>
  <c r="AR24" i="1"/>
  <c r="AR27" i="1"/>
  <c r="AR391" i="1"/>
  <c r="AR21" i="1"/>
  <c r="AR338" i="1"/>
  <c r="AR319" i="1" s="1"/>
  <c r="AR303" i="1"/>
  <c r="AR77" i="1" s="1"/>
  <c r="AR300" i="1"/>
  <c r="AR73" i="1" s="1"/>
  <c r="AR297" i="1"/>
  <c r="AR70" i="1" s="1"/>
  <c r="AR294" i="1"/>
  <c r="AR56" i="1" s="1"/>
  <c r="AR291" i="1"/>
  <c r="AR202" i="1"/>
  <c r="AR17" i="1"/>
  <c r="AR13" i="1"/>
  <c r="AR14" i="1" s="1"/>
  <c r="AS16" i="1"/>
  <c r="AS200" i="1"/>
  <c r="AT16" i="1"/>
  <c r="AT200" i="1"/>
  <c r="AL449" i="1"/>
  <c r="AL461" i="1"/>
  <c r="AN462" i="1"/>
  <c r="AJ116" i="1"/>
  <c r="AK116" i="1" s="1"/>
  <c r="AK66" i="1"/>
  <c r="AT11" i="1"/>
  <c r="J15" i="4" l="1"/>
  <c r="AP146" i="1"/>
  <c r="AP133" i="1"/>
  <c r="AQ131" i="1"/>
  <c r="AQ91" i="1"/>
  <c r="AQ31" i="1"/>
  <c r="AQ117" i="1"/>
  <c r="AQ94" i="1"/>
  <c r="K18" i="4" s="1"/>
  <c r="AQ289" i="1"/>
  <c r="AQ288" i="1"/>
  <c r="AR416" i="1"/>
  <c r="AR417" i="1" s="1"/>
  <c r="AR448" i="1"/>
  <c r="AR457" i="1" s="1"/>
  <c r="AR458" i="1" s="1"/>
  <c r="AR96" i="1"/>
  <c r="L20" i="4" s="1"/>
  <c r="AR372" i="1"/>
  <c r="AR30" i="1"/>
  <c r="AR19" i="1"/>
  <c r="AR287" i="1"/>
  <c r="AR55" i="1"/>
  <c r="AR53" i="1" s="1"/>
  <c r="AS24" i="1"/>
  <c r="AS27" i="1"/>
  <c r="AS391" i="1"/>
  <c r="AS21" i="1"/>
  <c r="AS13" i="1"/>
  <c r="AS14" i="1" s="1"/>
  <c r="AS338" i="1"/>
  <c r="AS319" i="1" s="1"/>
  <c r="AS303" i="1"/>
  <c r="AS77" i="1" s="1"/>
  <c r="AS300" i="1"/>
  <c r="AS73" i="1" s="1"/>
  <c r="AS297" i="1"/>
  <c r="AS70" i="1" s="1"/>
  <c r="AS294" i="1"/>
  <c r="AS56" i="1" s="1"/>
  <c r="AS291" i="1"/>
  <c r="AS202" i="1"/>
  <c r="AS17" i="1"/>
  <c r="AT24" i="1"/>
  <c r="AT27" i="1"/>
  <c r="AT391" i="1"/>
  <c r="AT21" i="1"/>
  <c r="AT338" i="1"/>
  <c r="AT319" i="1" s="1"/>
  <c r="AT303" i="1"/>
  <c r="AT77" i="1" s="1"/>
  <c r="AT300" i="1"/>
  <c r="AT73" i="1" s="1"/>
  <c r="AT297" i="1"/>
  <c r="AT70" i="1" s="1"/>
  <c r="AT294" i="1"/>
  <c r="AT56" i="1" s="1"/>
  <c r="AT291" i="1"/>
  <c r="AT13" i="1"/>
  <c r="AT14" i="1" s="1"/>
  <c r="AT202" i="1"/>
  <c r="AT17" i="1"/>
  <c r="AL447" i="1"/>
  <c r="AL515" i="1"/>
  <c r="AO462" i="1"/>
  <c r="AQ146" i="1" l="1"/>
  <c r="AQ133" i="1"/>
  <c r="K15" i="4"/>
  <c r="AR131" i="1"/>
  <c r="AR91" i="1"/>
  <c r="AR31" i="1"/>
  <c r="AR94" i="1"/>
  <c r="L18" i="4" s="1"/>
  <c r="AR117" i="1"/>
  <c r="AR289" i="1"/>
  <c r="AR288" i="1"/>
  <c r="AS416" i="1"/>
  <c r="AS417" i="1" s="1"/>
  <c r="AS448" i="1"/>
  <c r="AS457" i="1" s="1"/>
  <c r="AS458" i="1" s="1"/>
  <c r="AS96" i="1"/>
  <c r="M20" i="4" s="1"/>
  <c r="AS372" i="1"/>
  <c r="AS30" i="1"/>
  <c r="AS19" i="1"/>
  <c r="AS287" i="1"/>
  <c r="AS55" i="1"/>
  <c r="AS53" i="1" s="1"/>
  <c r="AT416" i="1"/>
  <c r="AT417" i="1" s="1"/>
  <c r="AT448" i="1"/>
  <c r="AT457" i="1" s="1"/>
  <c r="AT458" i="1" s="1"/>
  <c r="AT96" i="1"/>
  <c r="N20" i="4" s="1"/>
  <c r="O20" i="4" s="1"/>
  <c r="AT372" i="1"/>
  <c r="AT30" i="1"/>
  <c r="AT19" i="1"/>
  <c r="AT287" i="1"/>
  <c r="AT55" i="1"/>
  <c r="AT53" i="1" s="1"/>
  <c r="AM460" i="1"/>
  <c r="AL452" i="1"/>
  <c r="AL66" i="1"/>
  <c r="AL116" i="1" s="1"/>
  <c r="AP462" i="1"/>
  <c r="AR146" i="1" l="1"/>
  <c r="AR133" i="1"/>
  <c r="L15" i="4"/>
  <c r="AS131" i="1"/>
  <c r="AS91" i="1"/>
  <c r="AS31" i="1"/>
  <c r="AS117" i="1"/>
  <c r="AS94" i="1"/>
  <c r="M18" i="4" s="1"/>
  <c r="AS289" i="1"/>
  <c r="AS288" i="1"/>
  <c r="AT131" i="1"/>
  <c r="AT91" i="1"/>
  <c r="AT31" i="1"/>
  <c r="AT94" i="1"/>
  <c r="N18" i="4" s="1"/>
  <c r="O18" i="4" s="1"/>
  <c r="AT117" i="1"/>
  <c r="AT289" i="1"/>
  <c r="AT288" i="1"/>
  <c r="AM461" i="1"/>
  <c r="AM449" i="1"/>
  <c r="AQ462" i="1"/>
  <c r="AS133" i="1" l="1"/>
  <c r="AS146" i="1"/>
  <c r="M15" i="4"/>
  <c r="AT146" i="1"/>
  <c r="AT133" i="1"/>
  <c r="N15" i="4"/>
  <c r="AM447" i="1"/>
  <c r="AM515" i="1"/>
  <c r="AR462" i="1"/>
  <c r="O15" i="4" l="1"/>
  <c r="AM452" i="1"/>
  <c r="AM66" i="1"/>
  <c r="AM116" i="1" s="1"/>
  <c r="AN460" i="1"/>
  <c r="AS462" i="1"/>
  <c r="AN461" i="1" l="1"/>
  <c r="AN449" i="1"/>
  <c r="AT462" i="1"/>
  <c r="AN447" i="1" l="1"/>
  <c r="AN515" i="1"/>
  <c r="AN452" i="1" l="1"/>
  <c r="AN66" i="1"/>
  <c r="AN116" i="1" s="1"/>
  <c r="AO460" i="1"/>
  <c r="AO461" i="1" l="1"/>
  <c r="AO449" i="1"/>
  <c r="AO447" i="1" l="1"/>
  <c r="AO515" i="1"/>
  <c r="AO452" i="1" l="1"/>
  <c r="AO66" i="1"/>
  <c r="AO116" i="1" s="1"/>
  <c r="AP460" i="1"/>
  <c r="AP461" i="1" l="1"/>
  <c r="AP449" i="1"/>
  <c r="AP447" i="1" l="1"/>
  <c r="AP515" i="1"/>
  <c r="AP452" i="1" l="1"/>
  <c r="AP66" i="1"/>
  <c r="AP116" i="1" s="1"/>
  <c r="AQ460" i="1"/>
  <c r="AQ461" i="1" l="1"/>
  <c r="AQ449" i="1"/>
  <c r="AQ447" i="1" l="1"/>
  <c r="AQ515" i="1"/>
  <c r="AQ452" i="1" l="1"/>
  <c r="AQ66" i="1"/>
  <c r="AQ116" i="1" s="1"/>
  <c r="AR460" i="1"/>
  <c r="AR461" i="1" l="1"/>
  <c r="AR449" i="1"/>
  <c r="AR447" i="1" l="1"/>
  <c r="AR515" i="1"/>
  <c r="AR452" i="1" l="1"/>
  <c r="AR66" i="1"/>
  <c r="AR116" i="1" s="1"/>
  <c r="AS460" i="1"/>
  <c r="AS461" i="1" l="1"/>
  <c r="AS449" i="1"/>
  <c r="AS447" i="1" l="1"/>
  <c r="AS515" i="1"/>
  <c r="AS452" i="1" l="1"/>
  <c r="AS66" i="1"/>
  <c r="AS116" i="1" s="1"/>
  <c r="AT460" i="1"/>
  <c r="AT461" i="1" l="1"/>
  <c r="AT449" i="1"/>
  <c r="AT447" i="1" l="1"/>
  <c r="AT515" i="1"/>
  <c r="AT452" i="1" l="1"/>
  <c r="AT66" i="1"/>
  <c r="AT116" i="1" s="1"/>
  <c r="J5" i="4"/>
  <c r="K5" i="4"/>
  <c r="J6" i="4"/>
  <c r="K6" i="4"/>
  <c r="J7" i="4"/>
  <c r="K7" i="4"/>
  <c r="E16" i="4"/>
  <c r="F16" i="4"/>
  <c r="G16" i="4"/>
  <c r="H16" i="4"/>
  <c r="I16" i="4"/>
  <c r="J16" i="4"/>
  <c r="K16" i="4"/>
  <c r="L16" i="4"/>
  <c r="M16" i="4"/>
  <c r="N16" i="4"/>
  <c r="O16" i="4"/>
  <c r="E17" i="4"/>
  <c r="F17" i="4"/>
  <c r="G17" i="4"/>
  <c r="H17" i="4"/>
  <c r="I17" i="4"/>
  <c r="J17" i="4"/>
  <c r="K17" i="4"/>
  <c r="L17" i="4"/>
  <c r="M17" i="4"/>
  <c r="N17" i="4"/>
  <c r="O17" i="4"/>
  <c r="E19" i="4"/>
  <c r="F19" i="4"/>
  <c r="G19" i="4"/>
  <c r="H19" i="4"/>
  <c r="I19" i="4"/>
  <c r="J19" i="4"/>
  <c r="K19" i="4"/>
  <c r="L19" i="4"/>
  <c r="M19" i="4"/>
  <c r="N19" i="4"/>
  <c r="O19" i="4"/>
  <c r="E22" i="4"/>
  <c r="F22" i="4"/>
  <c r="G22" i="4"/>
  <c r="H22" i="4"/>
  <c r="I22" i="4"/>
  <c r="J22" i="4"/>
  <c r="K22" i="4"/>
  <c r="L22" i="4"/>
  <c r="M22" i="4"/>
  <c r="N22" i="4"/>
  <c r="O22" i="4"/>
  <c r="E23" i="4"/>
  <c r="F23" i="4"/>
  <c r="G23" i="4"/>
  <c r="H23" i="4"/>
  <c r="I23" i="4"/>
  <c r="J23" i="4"/>
  <c r="K23" i="4"/>
  <c r="L23" i="4"/>
  <c r="M23" i="4"/>
  <c r="N23" i="4"/>
  <c r="O23" i="4"/>
  <c r="E25" i="4"/>
  <c r="F25" i="4"/>
  <c r="G25" i="4"/>
  <c r="H25" i="4"/>
  <c r="I25" i="4"/>
  <c r="J25" i="4"/>
  <c r="K25" i="4"/>
  <c r="L25" i="4"/>
  <c r="M25" i="4"/>
  <c r="N25" i="4"/>
  <c r="O25" i="4"/>
  <c r="E27" i="4"/>
  <c r="F27" i="4"/>
  <c r="G27" i="4"/>
  <c r="H27" i="4"/>
  <c r="I27" i="4"/>
  <c r="J27" i="4"/>
  <c r="K27" i="4"/>
  <c r="L27" i="4"/>
  <c r="M27" i="4"/>
  <c r="N27" i="4"/>
  <c r="O27" i="4"/>
  <c r="E28" i="4"/>
  <c r="F28" i="4"/>
  <c r="G28" i="4"/>
  <c r="H28" i="4"/>
  <c r="I28" i="4"/>
  <c r="J28" i="4"/>
  <c r="K28" i="4"/>
  <c r="L28" i="4"/>
  <c r="M28" i="4"/>
  <c r="N28" i="4"/>
  <c r="O28" i="4"/>
  <c r="AI33" i="1"/>
  <c r="AJ33" i="1"/>
  <c r="AK33" i="1"/>
  <c r="AL33" i="1"/>
  <c r="AM33" i="1"/>
  <c r="AN33" i="1"/>
  <c r="AO33" i="1"/>
  <c r="AP33" i="1"/>
  <c r="AQ33" i="1"/>
  <c r="AR33" i="1"/>
  <c r="AS33" i="1"/>
  <c r="AT33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I159" i="1"/>
  <c r="AJ159" i="1"/>
  <c r="AL159" i="1"/>
  <c r="AM159" i="1"/>
  <c r="AN159" i="1"/>
  <c r="AO159" i="1"/>
  <c r="AP159" i="1"/>
  <c r="AQ159" i="1"/>
  <c r="AR159" i="1"/>
  <c r="AS159" i="1"/>
  <c r="AT159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I308" i="1"/>
  <c r="AJ308" i="1"/>
  <c r="AK308" i="1"/>
  <c r="AL308" i="1"/>
  <c r="AM308" i="1"/>
  <c r="AN308" i="1"/>
  <c r="AO308" i="1"/>
  <c r="AP308" i="1"/>
  <c r="AQ308" i="1"/>
  <c r="AR308" i="1"/>
  <c r="AS308" i="1"/>
  <c r="AT308" i="1"/>
  <c r="AI316" i="1"/>
  <c r="AJ316" i="1"/>
  <c r="AK316" i="1"/>
  <c r="AL316" i="1"/>
  <c r="AM316" i="1"/>
  <c r="AN316" i="1"/>
  <c r="AO316" i="1"/>
  <c r="AP316" i="1"/>
  <c r="AQ316" i="1"/>
  <c r="AR316" i="1"/>
  <c r="AS316" i="1"/>
  <c r="AT316" i="1"/>
  <c r="AI317" i="1"/>
  <c r="AJ317" i="1"/>
  <c r="AK317" i="1"/>
  <c r="AL317" i="1"/>
  <c r="AM317" i="1"/>
  <c r="AN317" i="1"/>
  <c r="AO317" i="1"/>
  <c r="AP317" i="1"/>
  <c r="AQ317" i="1"/>
  <c r="AR317" i="1"/>
  <c r="AS317" i="1"/>
  <c r="AT317" i="1"/>
  <c r="AI328" i="1"/>
  <c r="AJ328" i="1"/>
  <c r="AK328" i="1"/>
  <c r="AL328" i="1"/>
  <c r="AM328" i="1"/>
  <c r="AN328" i="1"/>
  <c r="AO328" i="1"/>
  <c r="AP328" i="1"/>
  <c r="AQ328" i="1"/>
  <c r="AR328" i="1"/>
  <c r="AS328" i="1"/>
  <c r="AT328" i="1"/>
  <c r="AI329" i="1"/>
  <c r="AJ329" i="1"/>
  <c r="AL329" i="1"/>
  <c r="AM329" i="1"/>
  <c r="AN329" i="1"/>
  <c r="AO329" i="1"/>
  <c r="AP329" i="1"/>
  <c r="AQ329" i="1"/>
  <c r="AR329" i="1"/>
  <c r="AS329" i="1"/>
  <c r="AT329" i="1"/>
  <c r="AK330" i="1"/>
  <c r="AK331" i="1"/>
  <c r="AK338" i="1"/>
  <c r="AK339" i="1"/>
  <c r="AH368" i="1"/>
  <c r="AI368" i="1"/>
  <c r="AJ368" i="1"/>
  <c r="AK368" i="1"/>
  <c r="AL368" i="1"/>
  <c r="AM368" i="1"/>
  <c r="AN368" i="1"/>
  <c r="AO368" i="1"/>
  <c r="AP368" i="1"/>
  <c r="AQ368" i="1"/>
  <c r="AR368" i="1"/>
  <c r="AS368" i="1"/>
  <c r="AT368" i="1"/>
  <c r="AH369" i="1"/>
  <c r="AI369" i="1"/>
  <c r="AJ369" i="1"/>
  <c r="AK369" i="1"/>
  <c r="AL369" i="1"/>
  <c r="AM369" i="1"/>
  <c r="AN369" i="1"/>
  <c r="AO369" i="1"/>
  <c r="AP369" i="1"/>
  <c r="AQ369" i="1"/>
  <c r="AR369" i="1"/>
  <c r="AS369" i="1"/>
  <c r="AT369" i="1"/>
  <c r="AH371" i="1"/>
  <c r="AI371" i="1"/>
  <c r="AJ371" i="1"/>
  <c r="AK371" i="1"/>
  <c r="AL371" i="1"/>
  <c r="AM371" i="1"/>
  <c r="AN371" i="1"/>
  <c r="AO371" i="1"/>
  <c r="AP371" i="1"/>
  <c r="AQ371" i="1"/>
  <c r="AR371" i="1"/>
  <c r="AS371" i="1"/>
  <c r="AT371" i="1"/>
  <c r="AH374" i="1"/>
  <c r="AI374" i="1"/>
  <c r="AJ374" i="1"/>
  <c r="AK374" i="1"/>
  <c r="AL374" i="1"/>
  <c r="AM374" i="1"/>
  <c r="AN374" i="1"/>
  <c r="AO374" i="1"/>
  <c r="AP374" i="1"/>
  <c r="AQ374" i="1"/>
  <c r="AR374" i="1"/>
  <c r="AS374" i="1"/>
  <c r="AT374" i="1"/>
  <c r="AH375" i="1"/>
  <c r="AI375" i="1"/>
  <c r="AJ375" i="1"/>
  <c r="AK375" i="1"/>
  <c r="AL375" i="1"/>
  <c r="AM375" i="1"/>
  <c r="AN375" i="1"/>
  <c r="AO375" i="1"/>
  <c r="AP375" i="1"/>
  <c r="AQ375" i="1"/>
  <c r="AR375" i="1"/>
  <c r="AS375" i="1"/>
  <c r="AT375" i="1"/>
  <c r="H377" i="1"/>
  <c r="L377" i="1"/>
  <c r="M377" i="1"/>
  <c r="Q377" i="1"/>
  <c r="R377" i="1"/>
  <c r="V377" i="1"/>
  <c r="W377" i="1"/>
  <c r="AA377" i="1"/>
  <c r="AB377" i="1"/>
  <c r="AF377" i="1"/>
  <c r="AG377" i="1"/>
  <c r="AK377" i="1"/>
  <c r="AL377" i="1"/>
  <c r="AM377" i="1"/>
  <c r="AN377" i="1"/>
  <c r="AO377" i="1"/>
  <c r="AP377" i="1"/>
  <c r="AQ377" i="1"/>
  <c r="AR377" i="1"/>
  <c r="AS377" i="1"/>
  <c r="AT377" i="1"/>
  <c r="H378" i="1"/>
  <c r="L378" i="1"/>
  <c r="M378" i="1"/>
  <c r="Q378" i="1"/>
  <c r="R378" i="1"/>
  <c r="V378" i="1"/>
  <c r="W378" i="1"/>
  <c r="AA378" i="1"/>
  <c r="AB378" i="1"/>
  <c r="AF378" i="1"/>
  <c r="AG378" i="1"/>
  <c r="AK378" i="1"/>
  <c r="AL378" i="1"/>
  <c r="AM378" i="1"/>
  <c r="AN378" i="1"/>
  <c r="AO378" i="1"/>
  <c r="AP378" i="1"/>
  <c r="AQ378" i="1"/>
  <c r="AR378" i="1"/>
  <c r="AS378" i="1"/>
  <c r="AT378" i="1"/>
  <c r="H381" i="1"/>
  <c r="L381" i="1"/>
  <c r="M381" i="1"/>
  <c r="Q381" i="1"/>
  <c r="R381" i="1"/>
  <c r="V381" i="1"/>
  <c r="W381" i="1"/>
  <c r="AA381" i="1"/>
  <c r="AB381" i="1"/>
  <c r="AF381" i="1"/>
  <c r="AG381" i="1"/>
  <c r="AK381" i="1"/>
  <c r="AL381" i="1"/>
  <c r="AM381" i="1"/>
  <c r="AN381" i="1"/>
  <c r="AO381" i="1"/>
  <c r="AP381" i="1"/>
  <c r="AQ381" i="1"/>
  <c r="AR381" i="1"/>
  <c r="AS381" i="1"/>
  <c r="AT381" i="1"/>
  <c r="L382" i="1"/>
  <c r="Q382" i="1"/>
  <c r="V382" i="1"/>
  <c r="AA382" i="1"/>
  <c r="AF382" i="1"/>
  <c r="AK382" i="1"/>
  <c r="H384" i="1"/>
  <c r="L384" i="1"/>
  <c r="M384" i="1"/>
  <c r="Q384" i="1"/>
  <c r="R384" i="1"/>
  <c r="V384" i="1"/>
  <c r="W384" i="1"/>
  <c r="AA384" i="1"/>
  <c r="AB384" i="1"/>
  <c r="AF384" i="1"/>
  <c r="AG384" i="1"/>
  <c r="AH384" i="1"/>
  <c r="AI384" i="1"/>
  <c r="AJ384" i="1"/>
  <c r="AK384" i="1"/>
  <c r="AL384" i="1"/>
  <c r="AM384" i="1"/>
  <c r="AN384" i="1"/>
  <c r="AO384" i="1"/>
  <c r="AP384" i="1"/>
  <c r="AQ384" i="1"/>
  <c r="AR384" i="1"/>
  <c r="AS384" i="1"/>
  <c r="AT384" i="1"/>
  <c r="H385" i="1"/>
  <c r="L385" i="1"/>
  <c r="M385" i="1"/>
  <c r="Q385" i="1"/>
  <c r="R385" i="1"/>
  <c r="V385" i="1"/>
  <c r="W385" i="1"/>
  <c r="AA385" i="1"/>
  <c r="AB385" i="1"/>
  <c r="AF385" i="1"/>
  <c r="AG385" i="1"/>
  <c r="AH385" i="1"/>
  <c r="AI385" i="1"/>
  <c r="AJ385" i="1"/>
  <c r="AK385" i="1"/>
  <c r="AL385" i="1"/>
  <c r="AM385" i="1"/>
  <c r="AN385" i="1"/>
  <c r="AO385" i="1"/>
  <c r="AP385" i="1"/>
  <c r="AQ385" i="1"/>
  <c r="AR385" i="1"/>
  <c r="AS385" i="1"/>
  <c r="AT385" i="1"/>
  <c r="AI387" i="1"/>
  <c r="AJ387" i="1"/>
  <c r="AK387" i="1"/>
  <c r="AL387" i="1"/>
  <c r="AM387" i="1"/>
  <c r="AN387" i="1"/>
  <c r="AO387" i="1"/>
  <c r="AP387" i="1"/>
  <c r="AQ387" i="1"/>
  <c r="AR387" i="1"/>
  <c r="AS387" i="1"/>
  <c r="AT387" i="1"/>
  <c r="AI388" i="1"/>
  <c r="AJ388" i="1"/>
  <c r="AK388" i="1"/>
  <c r="AL388" i="1"/>
  <c r="AM388" i="1"/>
  <c r="AN388" i="1"/>
  <c r="AO388" i="1"/>
  <c r="AP388" i="1"/>
  <c r="AQ388" i="1"/>
  <c r="AR388" i="1"/>
  <c r="AS388" i="1"/>
  <c r="AT388" i="1"/>
  <c r="H389" i="1"/>
  <c r="L389" i="1"/>
  <c r="M389" i="1"/>
  <c r="Q389" i="1"/>
  <c r="R389" i="1"/>
  <c r="V389" i="1"/>
  <c r="W389" i="1"/>
  <c r="AA389" i="1"/>
  <c r="AB389" i="1"/>
  <c r="AF389" i="1"/>
  <c r="AG389" i="1"/>
  <c r="AH389" i="1"/>
  <c r="AI389" i="1"/>
  <c r="AJ389" i="1"/>
  <c r="AK389" i="1"/>
  <c r="AL389" i="1"/>
  <c r="AM389" i="1"/>
  <c r="AN389" i="1"/>
  <c r="AO389" i="1"/>
  <c r="AP389" i="1"/>
  <c r="AQ389" i="1"/>
  <c r="AR389" i="1"/>
  <c r="AS389" i="1"/>
  <c r="AT389" i="1"/>
  <c r="AH396" i="1"/>
  <c r="AI396" i="1"/>
  <c r="AJ396" i="1"/>
  <c r="AK396" i="1"/>
  <c r="AL396" i="1"/>
  <c r="AM396" i="1"/>
  <c r="AN396" i="1"/>
  <c r="AO396" i="1"/>
  <c r="AP396" i="1"/>
  <c r="AQ396" i="1"/>
  <c r="AR396" i="1"/>
  <c r="AS396" i="1"/>
  <c r="AT396" i="1"/>
  <c r="AH397" i="1"/>
  <c r="AI397" i="1"/>
  <c r="AJ397" i="1"/>
  <c r="AK397" i="1"/>
  <c r="AL397" i="1"/>
  <c r="AM397" i="1"/>
  <c r="AN397" i="1"/>
  <c r="AO397" i="1"/>
  <c r="AP397" i="1"/>
  <c r="AQ397" i="1"/>
  <c r="AR397" i="1"/>
  <c r="AS397" i="1"/>
  <c r="AT397" i="1"/>
  <c r="AH399" i="1"/>
  <c r="AI399" i="1"/>
  <c r="AJ399" i="1"/>
  <c r="AK399" i="1"/>
  <c r="AL399" i="1"/>
  <c r="AM399" i="1"/>
  <c r="AN399" i="1"/>
  <c r="AO399" i="1"/>
  <c r="AP399" i="1"/>
  <c r="AQ399" i="1"/>
  <c r="AR399" i="1"/>
  <c r="AS399" i="1"/>
  <c r="AT399" i="1"/>
  <c r="AH400" i="1"/>
  <c r="AI400" i="1"/>
  <c r="AJ400" i="1"/>
  <c r="AK400" i="1"/>
  <c r="AL400" i="1"/>
  <c r="AM400" i="1"/>
  <c r="AN400" i="1"/>
  <c r="AO400" i="1"/>
  <c r="AP400" i="1"/>
  <c r="AQ400" i="1"/>
  <c r="AR400" i="1"/>
  <c r="AS400" i="1"/>
  <c r="AT400" i="1"/>
  <c r="H402" i="1"/>
  <c r="I402" i="1"/>
  <c r="J402" i="1"/>
  <c r="K402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J402" i="1"/>
  <c r="AK402" i="1"/>
  <c r="AL402" i="1"/>
  <c r="AM402" i="1"/>
  <c r="AN402" i="1"/>
  <c r="AO402" i="1"/>
  <c r="AP402" i="1"/>
  <c r="AQ402" i="1"/>
  <c r="AR402" i="1"/>
  <c r="AS402" i="1"/>
  <c r="AT402" i="1"/>
  <c r="H403" i="1"/>
  <c r="I403" i="1"/>
  <c r="J403" i="1"/>
  <c r="K403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AJ403" i="1"/>
  <c r="AK403" i="1"/>
  <c r="AL403" i="1"/>
  <c r="AM403" i="1"/>
  <c r="AN403" i="1"/>
  <c r="AO403" i="1"/>
  <c r="AP403" i="1"/>
  <c r="AQ403" i="1"/>
  <c r="AR403" i="1"/>
  <c r="AS403" i="1"/>
  <c r="AT403" i="1"/>
  <c r="H406" i="1"/>
  <c r="I406" i="1"/>
  <c r="J406" i="1"/>
  <c r="K406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G406" i="1"/>
  <c r="AH406" i="1"/>
  <c r="AI406" i="1"/>
  <c r="AJ406" i="1"/>
  <c r="AK406" i="1"/>
  <c r="AL406" i="1"/>
  <c r="AM406" i="1"/>
  <c r="AN406" i="1"/>
  <c r="AO406" i="1"/>
  <c r="AP406" i="1"/>
  <c r="AQ406" i="1"/>
  <c r="AR406" i="1"/>
  <c r="AS406" i="1"/>
  <c r="AT406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AI407" i="1"/>
  <c r="AJ407" i="1"/>
  <c r="AK407" i="1"/>
  <c r="AL407" i="1"/>
  <c r="AM407" i="1"/>
  <c r="AN407" i="1"/>
  <c r="AO407" i="1"/>
  <c r="AP407" i="1"/>
  <c r="AQ407" i="1"/>
  <c r="AR407" i="1"/>
  <c r="AS407" i="1"/>
  <c r="AT407" i="1"/>
  <c r="H409" i="1"/>
  <c r="I409" i="1"/>
  <c r="J409" i="1"/>
  <c r="K409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AI409" i="1"/>
  <c r="AJ409" i="1"/>
  <c r="AK409" i="1"/>
  <c r="AL409" i="1"/>
  <c r="AM409" i="1"/>
  <c r="AN409" i="1"/>
  <c r="AO409" i="1"/>
  <c r="AP409" i="1"/>
  <c r="AQ409" i="1"/>
  <c r="AR409" i="1"/>
  <c r="AS409" i="1"/>
  <c r="AT409" i="1"/>
  <c r="H410" i="1"/>
  <c r="I410" i="1"/>
  <c r="J410" i="1"/>
  <c r="K410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AJ410" i="1"/>
  <c r="AK410" i="1"/>
  <c r="AL410" i="1"/>
  <c r="AM410" i="1"/>
  <c r="AN410" i="1"/>
  <c r="AO410" i="1"/>
  <c r="AP410" i="1"/>
  <c r="AQ410" i="1"/>
  <c r="AR410" i="1"/>
  <c r="AS410" i="1"/>
  <c r="AT410" i="1"/>
  <c r="AI412" i="1"/>
  <c r="AJ412" i="1"/>
  <c r="AK412" i="1"/>
  <c r="AL412" i="1"/>
  <c r="AM412" i="1"/>
  <c r="AN412" i="1"/>
  <c r="AO412" i="1"/>
  <c r="AP412" i="1"/>
  <c r="AQ412" i="1"/>
  <c r="AR412" i="1"/>
  <c r="AS412" i="1"/>
  <c r="AT412" i="1"/>
  <c r="AI413" i="1"/>
  <c r="AJ413" i="1"/>
  <c r="AK413" i="1"/>
  <c r="AL413" i="1"/>
  <c r="AM413" i="1"/>
  <c r="AN413" i="1"/>
  <c r="AO413" i="1"/>
  <c r="AP413" i="1"/>
  <c r="AQ413" i="1"/>
  <c r="AR413" i="1"/>
  <c r="AS413" i="1"/>
  <c r="AT413" i="1"/>
  <c r="H414" i="1"/>
  <c r="I414" i="1"/>
  <c r="J414" i="1"/>
  <c r="K414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AG414" i="1"/>
  <c r="AH414" i="1"/>
  <c r="AI414" i="1"/>
  <c r="AJ414" i="1"/>
  <c r="AK414" i="1"/>
  <c r="AL414" i="1"/>
  <c r="AM414" i="1"/>
  <c r="AN414" i="1"/>
  <c r="AO414" i="1"/>
  <c r="AP414" i="1"/>
  <c r="AQ414" i="1"/>
  <c r="AR414" i="1"/>
  <c r="AS414" i="1"/>
  <c r="AT414" i="1"/>
  <c r="AH421" i="1"/>
  <c r="AI421" i="1"/>
  <c r="AJ421" i="1"/>
  <c r="AK421" i="1"/>
  <c r="AL421" i="1"/>
  <c r="AM421" i="1"/>
  <c r="AN421" i="1"/>
  <c r="AO421" i="1"/>
  <c r="AP421" i="1"/>
  <c r="AQ421" i="1"/>
  <c r="AR421" i="1"/>
  <c r="AS421" i="1"/>
  <c r="AT421" i="1"/>
  <c r="AH422" i="1"/>
  <c r="AI422" i="1"/>
  <c r="AJ422" i="1"/>
  <c r="AK422" i="1"/>
  <c r="AL422" i="1"/>
  <c r="AM422" i="1"/>
  <c r="AN422" i="1"/>
  <c r="AO422" i="1"/>
  <c r="AP422" i="1"/>
  <c r="AQ422" i="1"/>
  <c r="AR422" i="1"/>
  <c r="AS422" i="1"/>
  <c r="AT422" i="1"/>
  <c r="AI424" i="1"/>
  <c r="AJ424" i="1"/>
  <c r="AK424" i="1"/>
  <c r="AL424" i="1"/>
  <c r="AM424" i="1"/>
  <c r="AN424" i="1"/>
  <c r="AO424" i="1"/>
  <c r="AP424" i="1"/>
  <c r="AQ424" i="1"/>
  <c r="AR424" i="1"/>
  <c r="AS424" i="1"/>
  <c r="AT424" i="1"/>
  <c r="AH426" i="1"/>
  <c r="AI426" i="1"/>
  <c r="AJ426" i="1"/>
  <c r="AK426" i="1"/>
  <c r="AL426" i="1"/>
  <c r="AM426" i="1"/>
  <c r="AN426" i="1"/>
  <c r="AO426" i="1"/>
  <c r="AP426" i="1"/>
  <c r="AQ426" i="1"/>
  <c r="AR426" i="1"/>
  <c r="AS426" i="1"/>
  <c r="AT426" i="1"/>
  <c r="AH435" i="1"/>
  <c r="AI435" i="1"/>
  <c r="AJ435" i="1"/>
  <c r="AK435" i="1"/>
  <c r="AL435" i="1"/>
  <c r="AM435" i="1"/>
  <c r="AN435" i="1"/>
  <c r="AO435" i="1"/>
  <c r="AP435" i="1"/>
  <c r="AQ435" i="1"/>
  <c r="AR435" i="1"/>
  <c r="AS435" i="1"/>
  <c r="AT435" i="1"/>
  <c r="AH436" i="1"/>
  <c r="AI436" i="1"/>
  <c r="AJ436" i="1"/>
  <c r="AK436" i="1"/>
  <c r="AL436" i="1"/>
  <c r="AM436" i="1"/>
  <c r="AN436" i="1"/>
  <c r="AO436" i="1"/>
  <c r="AP436" i="1"/>
  <c r="AQ436" i="1"/>
  <c r="AR436" i="1"/>
  <c r="AS436" i="1"/>
  <c r="AT436" i="1"/>
  <c r="AI438" i="1"/>
  <c r="AJ438" i="1"/>
  <c r="AK438" i="1"/>
  <c r="AL438" i="1"/>
  <c r="AM438" i="1"/>
  <c r="AN438" i="1"/>
  <c r="AO438" i="1"/>
  <c r="AP438" i="1"/>
  <c r="AQ438" i="1"/>
  <c r="AR438" i="1"/>
  <c r="AS438" i="1"/>
  <c r="AT438" i="1"/>
  <c r="AI439" i="1"/>
  <c r="AJ439" i="1"/>
  <c r="AK439" i="1"/>
  <c r="AL439" i="1"/>
  <c r="AM439" i="1"/>
  <c r="AN439" i="1"/>
  <c r="AO439" i="1"/>
  <c r="AP439" i="1"/>
  <c r="AQ439" i="1"/>
  <c r="AR439" i="1"/>
  <c r="AS439" i="1"/>
  <c r="AT439" i="1"/>
  <c r="AK440" i="1"/>
  <c r="AL440" i="1"/>
  <c r="AM440" i="1"/>
  <c r="AN440" i="1"/>
  <c r="AO440" i="1"/>
  <c r="AP440" i="1"/>
  <c r="AQ440" i="1"/>
  <c r="AR440" i="1"/>
  <c r="AS440" i="1"/>
  <c r="AT440" i="1"/>
  <c r="AI469" i="1"/>
  <c r="AJ469" i="1"/>
  <c r="AK469" i="1"/>
  <c r="AL469" i="1"/>
  <c r="AM469" i="1"/>
  <c r="AN469" i="1"/>
  <c r="AO469" i="1"/>
  <c r="AP469" i="1"/>
  <c r="AQ469" i="1"/>
  <c r="AR469" i="1"/>
  <c r="AS469" i="1"/>
  <c r="AT469" i="1"/>
  <c r="AI472" i="1"/>
  <c r="AJ472" i="1"/>
  <c r="AK472" i="1"/>
  <c r="AL472" i="1"/>
  <c r="AM472" i="1"/>
  <c r="AN472" i="1"/>
  <c r="AO472" i="1"/>
  <c r="AP472" i="1"/>
  <c r="AQ472" i="1"/>
  <c r="AR472" i="1"/>
  <c r="AS472" i="1"/>
  <c r="AT472" i="1"/>
  <c r="AI474" i="1"/>
  <c r="AJ474" i="1"/>
  <c r="AK474" i="1"/>
  <c r="AL474" i="1"/>
  <c r="AM474" i="1"/>
  <c r="AN474" i="1"/>
  <c r="AO474" i="1"/>
  <c r="AP474" i="1"/>
  <c r="AQ474" i="1"/>
  <c r="AR474" i="1"/>
  <c r="AS474" i="1"/>
  <c r="AT474" i="1"/>
  <c r="AI475" i="1"/>
  <c r="AJ475" i="1"/>
  <c r="AK475" i="1"/>
  <c r="AL475" i="1"/>
  <c r="AM475" i="1"/>
  <c r="AN475" i="1"/>
  <c r="AO475" i="1"/>
  <c r="AP475" i="1"/>
  <c r="AQ475" i="1"/>
  <c r="AR475" i="1"/>
  <c r="AS475" i="1"/>
  <c r="AT475" i="1"/>
  <c r="AI478" i="1"/>
  <c r="AJ478" i="1"/>
  <c r="AK478" i="1"/>
  <c r="AL478" i="1"/>
  <c r="AM478" i="1"/>
  <c r="AN478" i="1"/>
  <c r="AO478" i="1"/>
  <c r="AP478" i="1"/>
  <c r="AQ478" i="1"/>
  <c r="AR478" i="1"/>
  <c r="AS478" i="1"/>
  <c r="AT478" i="1"/>
  <c r="AI479" i="1"/>
  <c r="AJ479" i="1"/>
  <c r="AK479" i="1"/>
  <c r="AL479" i="1"/>
  <c r="AM479" i="1"/>
  <c r="AN479" i="1"/>
  <c r="AO479" i="1"/>
  <c r="AP479" i="1"/>
  <c r="AQ479" i="1"/>
  <c r="AR479" i="1"/>
  <c r="AS479" i="1"/>
  <c r="AT479" i="1"/>
  <c r="AI481" i="1"/>
  <c r="AJ481" i="1"/>
  <c r="AK481" i="1"/>
  <c r="AL481" i="1"/>
  <c r="AM481" i="1"/>
  <c r="AN481" i="1"/>
  <c r="AO481" i="1"/>
  <c r="AP481" i="1"/>
  <c r="AQ481" i="1"/>
  <c r="AR481" i="1"/>
  <c r="AS481" i="1"/>
  <c r="AT481" i="1"/>
  <c r="AI482" i="1"/>
  <c r="AJ482" i="1"/>
  <c r="AK482" i="1"/>
  <c r="AL482" i="1"/>
  <c r="AM482" i="1"/>
  <c r="AN482" i="1"/>
  <c r="AO482" i="1"/>
  <c r="AP482" i="1"/>
  <c r="AQ482" i="1"/>
  <c r="AR482" i="1"/>
  <c r="AS482" i="1"/>
  <c r="AT482" i="1"/>
  <c r="AK483" i="1"/>
  <c r="AI513" i="1"/>
  <c r="AJ513" i="1"/>
  <c r="AL513" i="1"/>
  <c r="AM513" i="1"/>
  <c r="AN513" i="1"/>
  <c r="AO513" i="1"/>
  <c r="AP513" i="1"/>
  <c r="AQ513" i="1"/>
  <c r="AR513" i="1"/>
  <c r="AS513" i="1"/>
  <c r="AT513" i="1"/>
  <c r="AI514" i="1"/>
  <c r="AJ514" i="1"/>
  <c r="AK514" i="1"/>
  <c r="AL514" i="1"/>
  <c r="AM514" i="1"/>
  <c r="AN514" i="1"/>
  <c r="AO514" i="1"/>
  <c r="AP514" i="1"/>
  <c r="AQ514" i="1"/>
  <c r="AR514" i="1"/>
  <c r="AS514" i="1"/>
  <c r="AT514" i="1"/>
  <c r="AK51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<sst xmlns="http://schemas.openxmlformats.org/spreadsheetml/2006/main" count="971" uniqueCount="324">
  <si>
    <t>TFCO | R$ MM</t>
  </si>
  <si>
    <t>1T20</t>
  </si>
  <si>
    <t>2T20</t>
  </si>
  <si>
    <t>3T20</t>
  </si>
  <si>
    <t>4T20</t>
  </si>
  <si>
    <t>1T21</t>
  </si>
  <si>
    <t>2T21</t>
  </si>
  <si>
    <t>3T21</t>
  </si>
  <si>
    <t>4T21</t>
  </si>
  <si>
    <t>1T22</t>
  </si>
  <si>
    <t>2T22</t>
  </si>
  <si>
    <t>3T22</t>
  </si>
  <si>
    <t>4T22</t>
  </si>
  <si>
    <t>1T23</t>
  </si>
  <si>
    <t>2T23</t>
  </si>
  <si>
    <t>3T23</t>
  </si>
  <si>
    <t>4T23</t>
  </si>
  <si>
    <t>1T24</t>
  </si>
  <si>
    <t>2T24</t>
  </si>
  <si>
    <t>3T24</t>
  </si>
  <si>
    <t>4T24</t>
  </si>
  <si>
    <t>1T25</t>
  </si>
  <si>
    <t>2T25</t>
  </si>
  <si>
    <t>3T25</t>
  </si>
  <si>
    <t>4T25</t>
  </si>
  <si>
    <t>1T26</t>
  </si>
  <si>
    <t>2T26</t>
  </si>
  <si>
    <t>3T26</t>
  </si>
  <si>
    <t>4T26</t>
  </si>
  <si>
    <t>x</t>
  </si>
  <si>
    <t>*</t>
  </si>
  <si>
    <t>1 - Macro</t>
  </si>
  <si>
    <t xml:space="preserve">Selic Média </t>
  </si>
  <si>
    <t>2 - DRE</t>
  </si>
  <si>
    <t xml:space="preserve">Receita bruta </t>
  </si>
  <si>
    <t xml:space="preserve">% yoy </t>
  </si>
  <si>
    <t xml:space="preserve">(-) Deduções </t>
  </si>
  <si>
    <t>% RB</t>
  </si>
  <si>
    <t xml:space="preserve">Receita líquida </t>
  </si>
  <si>
    <t>(-) Custos</t>
  </si>
  <si>
    <t>Lucro bruto</t>
  </si>
  <si>
    <t xml:space="preserve">% margem bruta </t>
  </si>
  <si>
    <t xml:space="preserve">(-) Despesas </t>
  </si>
  <si>
    <t>% RL</t>
  </si>
  <si>
    <t>(-) Outras receitas (despesas)</t>
  </si>
  <si>
    <t xml:space="preserve">EBITDA </t>
  </si>
  <si>
    <t>% margem ebitda</t>
  </si>
  <si>
    <t>(-) D&amp;A</t>
  </si>
  <si>
    <t>EBIT</t>
  </si>
  <si>
    <t>% margem ebit</t>
  </si>
  <si>
    <t xml:space="preserve">(-) Resultado financeiro </t>
  </si>
  <si>
    <t>EBT</t>
  </si>
  <si>
    <t>% margem ebt</t>
  </si>
  <si>
    <t>(-) IR/CS</t>
  </si>
  <si>
    <t xml:space="preserve">% tax rate </t>
  </si>
  <si>
    <t>Lucro líquido</t>
  </si>
  <si>
    <t>% yoy</t>
  </si>
  <si>
    <t xml:space="preserve">% margem líquida </t>
  </si>
  <si>
    <t>3 - BP</t>
  </si>
  <si>
    <t>Ativo</t>
  </si>
  <si>
    <t xml:space="preserve">Ativo Circulante </t>
  </si>
  <si>
    <t xml:space="preserve">Caixa </t>
  </si>
  <si>
    <t>Contas a receber</t>
  </si>
  <si>
    <t>Estoques</t>
  </si>
  <si>
    <t>Impostos a recuperar</t>
  </si>
  <si>
    <t>Outros créditos</t>
  </si>
  <si>
    <t xml:space="preserve">Ativo Não Circulante </t>
  </si>
  <si>
    <t>Depósitos judiciais</t>
  </si>
  <si>
    <t>Contas a receber partes rel.</t>
  </si>
  <si>
    <t>IR/CS diferidos</t>
  </si>
  <si>
    <t xml:space="preserve">Direito de uso </t>
  </si>
  <si>
    <t>Imobilizado</t>
  </si>
  <si>
    <t>Intangível</t>
  </si>
  <si>
    <t xml:space="preserve">Passivo </t>
  </si>
  <si>
    <t xml:space="preserve">Passivo Circulante </t>
  </si>
  <si>
    <t>Fornecedores</t>
  </si>
  <si>
    <t xml:space="preserve">Dívida </t>
  </si>
  <si>
    <t>Partes relacionadas</t>
  </si>
  <si>
    <t>Obrigações trabalhistas e prev.</t>
  </si>
  <si>
    <t>Obrigações tributárias</t>
  </si>
  <si>
    <t>Arrendamento</t>
  </si>
  <si>
    <t>Dividendos e JSCP a pagar</t>
  </si>
  <si>
    <t>Outras obrigações</t>
  </si>
  <si>
    <t xml:space="preserve">Passivo Não Circulante </t>
  </si>
  <si>
    <t>Dívida</t>
  </si>
  <si>
    <t xml:space="preserve">Provisão para riscos </t>
  </si>
  <si>
    <t>Patrimônio Líquido</t>
  </si>
  <si>
    <t>Controladores</t>
  </si>
  <si>
    <t>Não Controladores</t>
  </si>
  <si>
    <t>Check BP</t>
  </si>
  <si>
    <t>4 - Cash Flow</t>
  </si>
  <si>
    <t>(-) Resultado financeiro</t>
  </si>
  <si>
    <t>(-) Adição Imobilizado</t>
  </si>
  <si>
    <t xml:space="preserve">(-) Adição Intangível </t>
  </si>
  <si>
    <t xml:space="preserve">(-) Depreciação Direito de Uso </t>
  </si>
  <si>
    <t xml:space="preserve">Fluxo de Caixa Operacional </t>
  </si>
  <si>
    <t xml:space="preserve">(-) Dividendos </t>
  </si>
  <si>
    <t xml:space="preserve">(-) Outros </t>
  </si>
  <si>
    <t>Fluxo de Caixa</t>
  </si>
  <si>
    <t>Check Cash Flow</t>
  </si>
  <si>
    <t>5 - Retornos</t>
  </si>
  <si>
    <t>ROE LTM</t>
  </si>
  <si>
    <t>ROIC LTM</t>
  </si>
  <si>
    <t>NOPAT LTM (IR=25%)</t>
  </si>
  <si>
    <t>Capital Investido</t>
  </si>
  <si>
    <t xml:space="preserve">Imoiblizado </t>
  </si>
  <si>
    <t xml:space="preserve">Intangivel </t>
  </si>
  <si>
    <t>Capital de Giro</t>
  </si>
  <si>
    <t>ROIC Marginal LTM (YoY)</t>
  </si>
  <si>
    <t>Delta NOPAT LTM</t>
  </si>
  <si>
    <t>Delta Avg. Capital Investido LTM</t>
  </si>
  <si>
    <t xml:space="preserve">6 - Estrutura de Capital </t>
  </si>
  <si>
    <t xml:space="preserve">Dívida líquida </t>
  </si>
  <si>
    <t>Caixa</t>
  </si>
  <si>
    <t>Financeira</t>
  </si>
  <si>
    <t>Dividendos e JCP a pagar</t>
  </si>
  <si>
    <t>EBITDA LTM</t>
  </si>
  <si>
    <t>(-) Pagamentos de Arrendamento</t>
  </si>
  <si>
    <t>EBITDA Pré IFRS-16 LTM</t>
  </si>
  <si>
    <t>Dívida Líquida / EBITDA Pré IFRS-16</t>
  </si>
  <si>
    <t>6.1 - IFRS 16</t>
  </si>
  <si>
    <t xml:space="preserve">Dívida líquida incl. Leasing </t>
  </si>
  <si>
    <t xml:space="preserve">Arrendamento </t>
  </si>
  <si>
    <t xml:space="preserve">Dívida Líquida incl. Leasing / EBITDA </t>
  </si>
  <si>
    <t>7 - Dividendos</t>
  </si>
  <si>
    <t xml:space="preserve">Dividendos </t>
  </si>
  <si>
    <t>JCP</t>
  </si>
  <si>
    <t>Recompras</t>
  </si>
  <si>
    <t xml:space="preserve">% payout </t>
  </si>
  <si>
    <t xml:space="preserve">Pagamento JCP Limite </t>
  </si>
  <si>
    <t>TJLP (% a.a)</t>
  </si>
  <si>
    <t>8 - Receita Build Up</t>
  </si>
  <si>
    <t>8.1 - Receita</t>
  </si>
  <si>
    <t>Receita bruta</t>
  </si>
  <si>
    <t xml:space="preserve">Rede própria </t>
  </si>
  <si>
    <t xml:space="preserve">Mercadorias p/ franquias </t>
  </si>
  <si>
    <t xml:space="preserve">Outras </t>
  </si>
  <si>
    <t xml:space="preserve">Royalties </t>
  </si>
  <si>
    <t xml:space="preserve">TF Sports </t>
  </si>
  <si>
    <t xml:space="preserve">Deduções </t>
  </si>
  <si>
    <t>ICMS</t>
  </si>
  <si>
    <t>COFINS</t>
  </si>
  <si>
    <t>PIS</t>
  </si>
  <si>
    <t>ISS</t>
  </si>
  <si>
    <t>Devoluções de Vendas</t>
  </si>
  <si>
    <t>Check RL</t>
  </si>
  <si>
    <t xml:space="preserve">8.2 - Operacional </t>
  </si>
  <si>
    <t xml:space="preserve"># Lojas </t>
  </si>
  <si>
    <t xml:space="preserve">Próprias </t>
  </si>
  <si>
    <t>Franquias</t>
  </si>
  <si>
    <t>Net Ads</t>
  </si>
  <si>
    <t xml:space="preserve">Sellout </t>
  </si>
  <si>
    <t>Rede própria</t>
  </si>
  <si>
    <t xml:space="preserve">% Sellout </t>
  </si>
  <si>
    <t>E-Commerce</t>
  </si>
  <si>
    <t>% Sellout Físico</t>
  </si>
  <si>
    <t>Sellout (ex e-commerce) / Loja (R$ k/Mês)</t>
  </si>
  <si>
    <t>8.3 - Receita bruta - Rede própria</t>
  </si>
  <si>
    <t xml:space="preserve">Receita bruta | Rede própria </t>
  </si>
  <si>
    <t>% Sellout | Rede própria + e-commerce</t>
  </si>
  <si>
    <t>% Líquida de Devoluções</t>
  </si>
  <si>
    <t>Sellout | Rede própria + E-Commerce</t>
  </si>
  <si>
    <t>8.4 - Receita bruta - Mercadorias p/ franquias</t>
  </si>
  <si>
    <t>Receita bruta | Mercadorias p/ franquias</t>
  </si>
  <si>
    <t>% Sellout | Franquias</t>
  </si>
  <si>
    <t>Sellout | Franquias</t>
  </si>
  <si>
    <t>8.5 - Receita bruta | Royalties</t>
  </si>
  <si>
    <t>Receita bruta | Royalties</t>
  </si>
  <si>
    <t xml:space="preserve">9 - Capital de giro </t>
  </si>
  <si>
    <t xml:space="preserve">Capital de Giro </t>
  </si>
  <si>
    <t xml:space="preserve"># dias </t>
  </si>
  <si>
    <t>% RL LTM</t>
  </si>
  <si>
    <t>(+) Contas a receber</t>
  </si>
  <si>
    <t># dias</t>
  </si>
  <si>
    <t>(+) Estoques</t>
  </si>
  <si>
    <t>(-) Fornecedores</t>
  </si>
  <si>
    <t>(-) Obrigações trabalhistas, trib.</t>
  </si>
  <si>
    <t>(-) Outras obrigações</t>
  </si>
  <si>
    <t>10 - Resultado financeiro</t>
  </si>
  <si>
    <t>Resultado financeiro</t>
  </si>
  <si>
    <t>Receitas financeiras</t>
  </si>
  <si>
    <t xml:space="preserve">Receita com juros </t>
  </si>
  <si>
    <t xml:space="preserve">Descontos obtidos </t>
  </si>
  <si>
    <t>Atualizações monetárias ativas</t>
  </si>
  <si>
    <t>Despesas financeiras</t>
  </si>
  <si>
    <t xml:space="preserve">Despesas com juros </t>
  </si>
  <si>
    <t>Juros sobre arrendamento</t>
  </si>
  <si>
    <t>Descontos concedidos</t>
  </si>
  <si>
    <t>Atualizações monetárias passivas</t>
  </si>
  <si>
    <t>Outras</t>
  </si>
  <si>
    <t xml:space="preserve">Receitas com juros </t>
  </si>
  <si>
    <t xml:space="preserve">Caixa BoP </t>
  </si>
  <si>
    <t>% rendimento do caixa (% a.a)</t>
  </si>
  <si>
    <t>% CDI</t>
  </si>
  <si>
    <t xml:space="preserve">Dívida BoP </t>
  </si>
  <si>
    <t>% custo de dívida</t>
  </si>
  <si>
    <t xml:space="preserve">Arrendamento BoP </t>
  </si>
  <si>
    <t xml:space="preserve">Outros resultado financeiro </t>
  </si>
  <si>
    <t xml:space="preserve">% RL </t>
  </si>
  <si>
    <t>Check RF</t>
  </si>
  <si>
    <t>Check DF</t>
  </si>
  <si>
    <t>11 - Arrendamento</t>
  </si>
  <si>
    <t xml:space="preserve">Direito de Uso </t>
  </si>
  <si>
    <t xml:space="preserve">por loja própria </t>
  </si>
  <si>
    <t>Adição (Outros)</t>
  </si>
  <si>
    <t>Depreciação</t>
  </si>
  <si>
    <t>% direito de uso bop (% a.a)</t>
  </si>
  <si>
    <t>(+) Adição de novos contratos</t>
  </si>
  <si>
    <t>(-) Baixa de contratos renovados</t>
  </si>
  <si>
    <t>(+) Remensuração</t>
  </si>
  <si>
    <t>(-) Depreciação</t>
  </si>
  <si>
    <t>Despesas com Leasing DRE</t>
  </si>
  <si>
    <t xml:space="preserve">Depreciação do Direito de Uso </t>
  </si>
  <si>
    <t xml:space="preserve">Juros Sobre Leasing </t>
  </si>
  <si>
    <t>12 - Capex</t>
  </si>
  <si>
    <t xml:space="preserve">Capex </t>
  </si>
  <si>
    <t xml:space="preserve">Imobilizado </t>
  </si>
  <si>
    <t xml:space="preserve">Intangível </t>
  </si>
  <si>
    <t>Capex | Imobilizado</t>
  </si>
  <si>
    <t>Expansão | Lojas próprias (Est.)</t>
  </si>
  <si>
    <t>Lojas próprias adicionadas</t>
  </si>
  <si>
    <t xml:space="preserve">Capex por loja </t>
  </si>
  <si>
    <t>Manutenção e Outros</t>
  </si>
  <si>
    <t>Depreciação Imobilizado</t>
  </si>
  <si>
    <t>Depreciação + Capex maint. E Outros</t>
  </si>
  <si>
    <t>Capex | Intangível</t>
  </si>
  <si>
    <t>12.1 Capex LTM</t>
  </si>
  <si>
    <t>Capex LTM</t>
  </si>
  <si>
    <t>Capex LTM | Imobilizado</t>
  </si>
  <si>
    <t>Expansão LTM | Lojas próprias (Est.)</t>
  </si>
  <si>
    <t>Lojas próprias adicionadas LTM</t>
  </si>
  <si>
    <t>Manutenção e Outros LTM</t>
  </si>
  <si>
    <t>Depreciação Imobilizado LTM</t>
  </si>
  <si>
    <t>Depreciação + Capex maint. E Outros LTM</t>
  </si>
  <si>
    <t>Capex LTM | Intangível</t>
  </si>
  <si>
    <t xml:space="preserve">13 - Imobilizado </t>
  </si>
  <si>
    <t xml:space="preserve">(+) Adições </t>
  </si>
  <si>
    <t>(-) Baixas</t>
  </si>
  <si>
    <t xml:space="preserve">(-) Depreciação </t>
  </si>
  <si>
    <t xml:space="preserve">Máquinas e equipamentos </t>
  </si>
  <si>
    <t>Instalações</t>
  </si>
  <si>
    <t xml:space="preserve">Movéis e utensilios </t>
  </si>
  <si>
    <t xml:space="preserve">Computadores e perifericos </t>
  </si>
  <si>
    <t xml:space="preserve">Benefeitorias em imóveis de terceiros </t>
  </si>
  <si>
    <t>Telefonia</t>
  </si>
  <si>
    <t>Adiantamento para aquisição de imob.</t>
  </si>
  <si>
    <t xml:space="preserve">Adição </t>
  </si>
  <si>
    <t xml:space="preserve">Depreciação </t>
  </si>
  <si>
    <t>% Imobilizado BoP</t>
  </si>
  <si>
    <t>Check movimentações</t>
  </si>
  <si>
    <t>Check breakdown</t>
  </si>
  <si>
    <t xml:space="preserve">14 - Intangível </t>
  </si>
  <si>
    <t xml:space="preserve">(-) Amortização </t>
  </si>
  <si>
    <t xml:space="preserve">(+/-) Outros </t>
  </si>
  <si>
    <t xml:space="preserve">Pontos comerciais </t>
  </si>
  <si>
    <t xml:space="preserve">Marcas e patentes </t>
  </si>
  <si>
    <t xml:space="preserve">Software </t>
  </si>
  <si>
    <t>Amortização</t>
  </si>
  <si>
    <t xml:space="preserve">15 - Impostos </t>
  </si>
  <si>
    <t xml:space="preserve">% tax rate teorica </t>
  </si>
  <si>
    <t xml:space="preserve">Imposto teórico </t>
  </si>
  <si>
    <t>(-) Equivalência patrimônial</t>
  </si>
  <si>
    <t>(-) JCP</t>
  </si>
  <si>
    <t>(-) Ajuste lucro presumido controladas</t>
  </si>
  <si>
    <t xml:space="preserve">(-) Outras </t>
  </si>
  <si>
    <t xml:space="preserve">Imposto contábil </t>
  </si>
  <si>
    <t xml:space="preserve">% tax rate efetiva </t>
  </si>
  <si>
    <t>Ajuste JCP</t>
  </si>
  <si>
    <t xml:space="preserve">Outros Ajustes </t>
  </si>
  <si>
    <t xml:space="preserve">% EBT </t>
  </si>
  <si>
    <t>Check IR/CS</t>
  </si>
  <si>
    <t>16 - Custos e Despesas Breakdown</t>
  </si>
  <si>
    <t>Custos + Despesas (incl. D&amp;A)</t>
  </si>
  <si>
    <t>Custos</t>
  </si>
  <si>
    <t>Despesas</t>
  </si>
  <si>
    <t>Vendas</t>
  </si>
  <si>
    <t>G&amp;A</t>
  </si>
  <si>
    <t>Matéria-prima</t>
  </si>
  <si>
    <t>Pessoal</t>
  </si>
  <si>
    <t>Despesas de marketing e vendas</t>
  </si>
  <si>
    <t>D&amp;A</t>
  </si>
  <si>
    <t>Fretes</t>
  </si>
  <si>
    <t>Serviços profissionais contratados</t>
  </si>
  <si>
    <t xml:space="preserve">Aluguéis e condominios </t>
  </si>
  <si>
    <t>Comissão sobre cartões</t>
  </si>
  <si>
    <t>PDD</t>
  </si>
  <si>
    <t xml:space="preserve">Energia, água e telefone </t>
  </si>
  <si>
    <t xml:space="preserve">Uso de marca e patrocínios </t>
  </si>
  <si>
    <t xml:space="preserve">D&amp;A </t>
  </si>
  <si>
    <t xml:space="preserve">Custos </t>
  </si>
  <si>
    <t>Direito de Uso</t>
  </si>
  <si>
    <t>Check</t>
  </si>
  <si>
    <t xml:space="preserve">Custos caixa </t>
  </si>
  <si>
    <t xml:space="preserve">Despesas caixa </t>
  </si>
  <si>
    <t>Check custos e despesas</t>
  </si>
  <si>
    <t xml:space="preserve">Premissas </t>
  </si>
  <si>
    <t xml:space="preserve">DCF Target </t>
  </si>
  <si>
    <t xml:space="preserve">Ke </t>
  </si>
  <si>
    <t xml:space="preserve">R$/Ação </t>
  </si>
  <si>
    <t>Upside</t>
  </si>
  <si>
    <t xml:space="preserve">Preço/Ação </t>
  </si>
  <si>
    <t xml:space="preserve">g </t>
  </si>
  <si>
    <t>DCF (R$ Mn)</t>
  </si>
  <si>
    <t xml:space="preserve">Perp </t>
  </si>
  <si>
    <t xml:space="preserve">Data </t>
  </si>
  <si>
    <t xml:space="preserve">Período </t>
  </si>
  <si>
    <t xml:space="preserve">FCFE </t>
  </si>
  <si>
    <t xml:space="preserve">FCFE Valor Presente </t>
  </si>
  <si>
    <t>FCFE Valor Presente (Ke+1%)</t>
  </si>
  <si>
    <t>FCFE Valor Presente (Ke-1%)</t>
  </si>
  <si>
    <t># Ações (mil)</t>
  </si>
  <si>
    <t>Market Cap (mil)</t>
  </si>
  <si>
    <t>(-) Adição Intangível</t>
  </si>
  <si>
    <t>(-) Depreciação Direito de Uso</t>
  </si>
  <si>
    <t>(+/-) Δ Dívida</t>
  </si>
  <si>
    <r>
      <t xml:space="preserve">(-) </t>
    </r>
    <r>
      <rPr>
        <sz val="10"/>
        <color theme="1"/>
        <rFont val="Aptos Narrow"/>
        <family val="2"/>
      </rPr>
      <t>∆</t>
    </r>
    <r>
      <rPr>
        <sz val="10"/>
        <color theme="1"/>
        <rFont val="Calibri"/>
        <family val="2"/>
      </rPr>
      <t xml:space="preserve"> WKC</t>
    </r>
  </si>
  <si>
    <t>Sell Out Rede própria</t>
  </si>
  <si>
    <t>Sellout Rede Própria / Loja (R$ k/Mês)</t>
  </si>
  <si>
    <t>Sellout Franquia / Loja (R$ k/Mês)</t>
  </si>
  <si>
    <t>Curva de Maturação</t>
  </si>
  <si>
    <t>% madura</t>
  </si>
  <si>
    <t xml:space="preserve">Ano 1 </t>
  </si>
  <si>
    <t>Ano 2</t>
  </si>
  <si>
    <t>Ano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</si>
</sst>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%"/>
    <numFmt numFmtId="165" formatCode="#,##0.0"/>
    <numFmt numFmtId="166" formatCode="#,##0.0_);\(#,##0.0\)"/>
    <numFmt numFmtId="167" formatCode="#,##0.00\x"/>
    <numFmt numFmtId="168" formatCode="#,##0_);\(#,##0\)"/>
    <numFmt numFmtId="169" formatCode="#,##0.000;[Red]\(#,##0.000\);\-"/>
    <numFmt numFmtId="170" formatCode="#,##0.00_);\(#,##0.00\)"/>
    <numFmt numFmtId="171" formatCode="0.0"/>
    <numFmt numFmtId="172" formatCode="_-[$R$-416]\ * #,##0.00_-;\-[$R$-416]\ * #,##0.00_-;_-[$R$-416]\ * &quot;-&quot;??_-;_-@_-"/>
    <numFmt numFmtId="173" formatCode="d/m/yy;@"/>
    <numFmt numFmtId="174" formatCode="0.00\x;\(0.00\x\);&quot;–&quot;"/>
    <numFmt numFmtId="175" formatCode="#,##0;\(#,##0\);\-\ "/>
    <numFmt numFmtId="176" formatCode="_-&quot;R$&quot;\ * #,##0_-;\-&quot;R$&quot;\ * #,##0_-;_-&quot;R$&quot;\ * &quot;-&quot;??_-;_-@_-"/>
  </numFmts>
  <fonts count="16" x14ac:knownFonts="1">
    <font>
      <sz val="10"/>
      <color theme="1"/>
      <name val="Calibri"/>
      <family val="2"/>
    </font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0000FF"/>
      <name val="Calibri"/>
      <family val="2"/>
    </font>
    <font>
      <i/>
      <sz val="10"/>
      <color theme="1"/>
      <name val="Calibri"/>
      <family val="2"/>
    </font>
    <font>
      <sz val="10"/>
      <name val="Calibri"/>
      <family val="2"/>
    </font>
    <font>
      <b/>
      <u/>
      <sz val="10"/>
      <color theme="1"/>
      <name val="Calibri"/>
      <family val="2"/>
    </font>
    <font>
      <i/>
      <sz val="10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i/>
      <sz val="10"/>
      <color rgb="FF000000"/>
      <name val="Calibri"/>
      <family val="2"/>
    </font>
    <font>
      <sz val="10"/>
      <color theme="1"/>
      <name val="Aptos"/>
      <family val="2"/>
    </font>
    <font>
      <b/>
      <sz val="10"/>
      <color theme="0"/>
      <name val="Calibri"/>
      <family val="2"/>
    </font>
    <font>
      <b/>
      <sz val="10"/>
      <name val="Calibri"/>
      <family val="2"/>
    </font>
    <font>
      <sz val="10"/>
      <color theme="1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CB9CA"/>
        <bgColor indexed="64"/>
      </patternFill>
    </fill>
    <fill>
      <patternFill patternType="lightGray"/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207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2" xfId="0" applyFill="1" applyBorder="1" applyAlignment="1">
      <alignment vertical="center"/>
    </xf>
    <xf numFmtId="164" fontId="4" fillId="0" borderId="0" xfId="1" applyNumberFormat="1" applyFont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164" fontId="4" fillId="5" borderId="0" xfId="1" applyNumberFormat="1" applyFont="1" applyFill="1" applyAlignment="1">
      <alignment horizontal="center" vertical="center"/>
    </xf>
    <xf numFmtId="164" fontId="2" fillId="0" borderId="3" xfId="1" applyNumberFormat="1" applyFont="1" applyFill="1" applyBorder="1" applyAlignment="1">
      <alignment horizontal="center" vertical="center"/>
    </xf>
    <xf numFmtId="164" fontId="4" fillId="5" borderId="3" xfId="1" applyNumberFormat="1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164" fontId="0" fillId="0" borderId="0" xfId="1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left" vertical="center" indent="2"/>
    </xf>
    <xf numFmtId="0" fontId="3" fillId="0" borderId="0" xfId="0" applyFont="1" applyAlignment="1">
      <alignment horizontal="left" vertical="center"/>
    </xf>
    <xf numFmtId="164" fontId="4" fillId="5" borderId="0" xfId="0" applyNumberFormat="1" applyFont="1" applyFill="1" applyAlignment="1">
      <alignment horizontal="center" vertical="center"/>
    </xf>
    <xf numFmtId="164" fontId="4" fillId="5" borderId="3" xfId="0" applyNumberFormat="1" applyFont="1" applyFill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166" fontId="0" fillId="5" borderId="0" xfId="0" applyNumberFormat="1" applyFill="1" applyAlignment="1">
      <alignment horizontal="center" vertical="center"/>
    </xf>
    <xf numFmtId="166" fontId="0" fillId="5" borderId="3" xfId="0" applyNumberForma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5" fontId="0" fillId="4" borderId="2" xfId="0" applyNumberForma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65" fontId="5" fillId="0" borderId="0" xfId="0" applyNumberFormat="1" applyFont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164" fontId="3" fillId="0" borderId="0" xfId="1" applyNumberFormat="1" applyFont="1" applyAlignment="1">
      <alignment horizontal="center" vertical="center"/>
    </xf>
    <xf numFmtId="164" fontId="3" fillId="0" borderId="3" xfId="1" applyNumberFormat="1" applyFont="1" applyBorder="1" applyAlignment="1">
      <alignment horizontal="center" vertical="center"/>
    </xf>
    <xf numFmtId="0" fontId="0" fillId="6" borderId="0" xfId="0" applyFill="1" applyAlignment="1">
      <alignment horizontal="left" vertical="center" indent="2"/>
    </xf>
    <xf numFmtId="166" fontId="0" fillId="6" borderId="0" xfId="0" applyNumberFormat="1" applyFill="1" applyAlignment="1">
      <alignment horizontal="center" vertical="center"/>
    </xf>
    <xf numFmtId="166" fontId="0" fillId="6" borderId="3" xfId="0" applyNumberFormat="1" applyFill="1" applyBorder="1" applyAlignment="1">
      <alignment horizontal="center" vertical="center"/>
    </xf>
    <xf numFmtId="166" fontId="4" fillId="6" borderId="0" xfId="0" applyNumberFormat="1" applyFont="1" applyFill="1" applyAlignment="1">
      <alignment horizontal="center" vertical="center"/>
    </xf>
    <xf numFmtId="166" fontId="4" fillId="6" borderId="3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horizontal="left" vertical="center" indent="1"/>
    </xf>
    <xf numFmtId="0" fontId="3" fillId="6" borderId="0" xfId="0" applyFont="1" applyFill="1" applyAlignment="1">
      <alignment horizontal="left" vertical="center"/>
    </xf>
    <xf numFmtId="166" fontId="3" fillId="6" borderId="0" xfId="0" applyNumberFormat="1" applyFont="1" applyFill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167" fontId="3" fillId="0" borderId="3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9" fontId="0" fillId="0" borderId="0" xfId="1" applyFont="1" applyAlignment="1">
      <alignment vertical="center"/>
    </xf>
    <xf numFmtId="166" fontId="0" fillId="0" borderId="3" xfId="0" applyNumberFormat="1" applyBorder="1" applyAlignment="1">
      <alignment vertical="center"/>
    </xf>
    <xf numFmtId="164" fontId="0" fillId="5" borderId="0" xfId="1" applyNumberFormat="1" applyFont="1" applyFill="1" applyAlignment="1">
      <alignment horizontal="center" vertical="center"/>
    </xf>
    <xf numFmtId="164" fontId="0" fillId="5" borderId="3" xfId="1" applyNumberFormat="1" applyFont="1" applyFill="1" applyBorder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5" borderId="3" xfId="0" applyNumberFormat="1" applyFont="1" applyFill="1" applyBorder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68" fontId="3" fillId="0" borderId="3" xfId="0" applyNumberFormat="1" applyFont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0" fillId="0" borderId="3" xfId="0" applyNumberFormat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68" fontId="4" fillId="5" borderId="3" xfId="0" applyNumberFormat="1" applyFont="1" applyFill="1" applyBorder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164" fontId="2" fillId="0" borderId="3" xfId="1" applyNumberFormat="1" applyFont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0" fillId="6" borderId="3" xfId="0" applyFill="1" applyBorder="1" applyAlignment="1">
      <alignment vertical="center"/>
    </xf>
    <xf numFmtId="0" fontId="0" fillId="6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64" fontId="0" fillId="5" borderId="3" xfId="0" applyNumberFormat="1" applyFill="1" applyBorder="1" applyAlignment="1">
      <alignment horizontal="center" vertical="center"/>
    </xf>
    <xf numFmtId="168" fontId="4" fillId="5" borderId="0" xfId="0" applyNumberFormat="1" applyFon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9" fontId="0" fillId="0" borderId="0" xfId="0" applyNumberFormat="1" applyAlignment="1">
      <alignment vertical="center"/>
    </xf>
    <xf numFmtId="169" fontId="0" fillId="0" borderId="3" xfId="0" applyNumberFormat="1" applyBorder="1" applyAlignment="1">
      <alignment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left" vertical="center" indent="3"/>
    </xf>
    <xf numFmtId="2" fontId="0" fillId="0" borderId="0" xfId="0" applyNumberFormat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170" fontId="0" fillId="0" borderId="0" xfId="0" applyNumberFormat="1" applyAlignment="1">
      <alignment horizontal="center" vertical="center"/>
    </xf>
    <xf numFmtId="170" fontId="0" fillId="0" borderId="3" xfId="0" applyNumberFormat="1" applyBorder="1" applyAlignment="1">
      <alignment horizontal="center" vertical="center"/>
    </xf>
    <xf numFmtId="170" fontId="4" fillId="5" borderId="4" xfId="0" applyNumberFormat="1" applyFont="1" applyFill="1" applyBorder="1" applyAlignment="1">
      <alignment horizontal="center" vertical="center"/>
    </xf>
    <xf numFmtId="164" fontId="0" fillId="6" borderId="0" xfId="1" applyNumberFormat="1" applyFont="1" applyFill="1" applyAlignment="1">
      <alignment horizontal="center" vertical="center"/>
    </xf>
    <xf numFmtId="164" fontId="0" fillId="6" borderId="3" xfId="1" applyNumberFormat="1" applyFont="1" applyFill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166" fontId="0" fillId="0" borderId="0" xfId="0" applyNumberFormat="1" applyAlignment="1">
      <alignment vertical="center"/>
    </xf>
    <xf numFmtId="165" fontId="8" fillId="0" borderId="0" xfId="0" applyNumberFormat="1" applyFont="1" applyAlignment="1">
      <alignment horizontal="center" vertical="center"/>
    </xf>
    <xf numFmtId="165" fontId="8" fillId="0" borderId="3" xfId="0" applyNumberFormat="1" applyFont="1" applyBorder="1" applyAlignment="1">
      <alignment horizontal="center" vertical="center"/>
    </xf>
    <xf numFmtId="166" fontId="5" fillId="0" borderId="3" xfId="0" applyNumberFormat="1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166" fontId="10" fillId="0" borderId="3" xfId="0" applyNumberFormat="1" applyFont="1" applyBorder="1" applyAlignment="1">
      <alignment horizontal="center" vertical="center"/>
    </xf>
    <xf numFmtId="166" fontId="9" fillId="0" borderId="3" xfId="0" applyNumberFormat="1" applyFont="1" applyBorder="1" applyAlignment="1">
      <alignment horizontal="center" vertical="center"/>
    </xf>
    <xf numFmtId="165" fontId="9" fillId="0" borderId="3" xfId="0" applyNumberFormat="1" applyFont="1" applyBorder="1" applyAlignment="1">
      <alignment horizontal="center" vertical="center"/>
    </xf>
    <xf numFmtId="167" fontId="10" fillId="0" borderId="3" xfId="0" applyNumberFormat="1" applyFont="1" applyBorder="1" applyAlignment="1">
      <alignment horizontal="center" vertical="center"/>
    </xf>
    <xf numFmtId="164" fontId="0" fillId="0" borderId="3" xfId="1" applyNumberFormat="1" applyFont="1" applyFill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165" fontId="10" fillId="0" borderId="3" xfId="0" applyNumberFormat="1" applyFont="1" applyBorder="1" applyAlignment="1">
      <alignment horizontal="center" vertical="center"/>
    </xf>
    <xf numFmtId="164" fontId="9" fillId="0" borderId="3" xfId="1" applyNumberFormat="1" applyFont="1" applyFill="1" applyBorder="1" applyAlignment="1">
      <alignment horizontal="center" vertical="center"/>
    </xf>
    <xf numFmtId="164" fontId="9" fillId="0" borderId="3" xfId="0" applyNumberFormat="1" applyFont="1" applyBorder="1" applyAlignment="1">
      <alignment horizontal="center" vertical="center"/>
    </xf>
    <xf numFmtId="166" fontId="9" fillId="0" borderId="3" xfId="0" applyNumberFormat="1" applyFont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168" fontId="10" fillId="0" borderId="3" xfId="0" applyNumberFormat="1" applyFont="1" applyBorder="1" applyAlignment="1">
      <alignment horizontal="center" vertical="center"/>
    </xf>
    <xf numFmtId="168" fontId="9" fillId="0" borderId="3" xfId="0" applyNumberFormat="1" applyFont="1" applyBorder="1" applyAlignment="1">
      <alignment horizontal="center" vertical="center"/>
    </xf>
    <xf numFmtId="170" fontId="0" fillId="0" borderId="5" xfId="0" applyNumberFormat="1" applyBorder="1" applyAlignment="1">
      <alignment horizontal="center" vertical="center"/>
    </xf>
    <xf numFmtId="170" fontId="6" fillId="0" borderId="3" xfId="0" applyNumberFormat="1" applyFont="1" applyBorder="1" applyAlignment="1">
      <alignment horizontal="center" vertical="center"/>
    </xf>
    <xf numFmtId="166" fontId="6" fillId="5" borderId="3" xfId="0" applyNumberFormat="1" applyFont="1" applyFill="1" applyBorder="1" applyAlignment="1">
      <alignment horizontal="center" vertical="center"/>
    </xf>
    <xf numFmtId="166" fontId="6" fillId="5" borderId="0" xfId="0" applyNumberFormat="1" applyFont="1" applyFill="1" applyAlignment="1">
      <alignment horizontal="center" vertical="center"/>
    </xf>
    <xf numFmtId="166" fontId="6" fillId="0" borderId="3" xfId="0" applyNumberFormat="1" applyFont="1" applyBorder="1" applyAlignment="1">
      <alignment horizontal="center" vertical="center"/>
    </xf>
    <xf numFmtId="164" fontId="6" fillId="5" borderId="3" xfId="1" applyNumberFormat="1" applyFont="1" applyFill="1" applyBorder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0" fontId="2" fillId="0" borderId="0" xfId="2" applyFont="1" applyAlignment="1">
      <alignment vertical="center"/>
    </xf>
    <xf numFmtId="164" fontId="2" fillId="6" borderId="0" xfId="2" applyNumberFormat="1" applyFont="1" applyFill="1" applyAlignment="1">
      <alignment vertical="center"/>
    </xf>
    <xf numFmtId="164" fontId="2" fillId="6" borderId="6" xfId="2" applyNumberFormat="1" applyFont="1" applyFill="1" applyBorder="1" applyAlignment="1">
      <alignment horizontal="center" vertical="center"/>
    </xf>
    <xf numFmtId="10" fontId="2" fillId="0" borderId="0" xfId="2" applyNumberFormat="1" applyFont="1" applyAlignment="1">
      <alignment horizontal="center" vertical="center"/>
    </xf>
    <xf numFmtId="164" fontId="2" fillId="0" borderId="0" xfId="2" applyNumberFormat="1" applyFont="1" applyAlignment="1">
      <alignment horizontal="center" vertical="center"/>
    </xf>
    <xf numFmtId="164" fontId="2" fillId="6" borderId="0" xfId="2" applyNumberFormat="1" applyFont="1" applyFill="1" applyAlignment="1">
      <alignment horizontal="center" vertical="center"/>
    </xf>
    <xf numFmtId="10" fontId="2" fillId="6" borderId="0" xfId="2" applyNumberFormat="1" applyFont="1" applyFill="1" applyAlignment="1">
      <alignment horizontal="center" vertical="center"/>
    </xf>
    <xf numFmtId="0" fontId="3" fillId="10" borderId="10" xfId="2" applyFont="1" applyFill="1" applyBorder="1" applyAlignment="1">
      <alignment horizontal="center" vertical="center"/>
    </xf>
    <xf numFmtId="0" fontId="3" fillId="10" borderId="11" xfId="2" applyFont="1" applyFill="1" applyBorder="1" applyAlignment="1">
      <alignment horizontal="center" vertical="center"/>
    </xf>
    <xf numFmtId="0" fontId="3" fillId="10" borderId="12" xfId="2" applyFont="1" applyFill="1" applyBorder="1" applyAlignment="1">
      <alignment horizontal="center" vertical="center"/>
    </xf>
    <xf numFmtId="10" fontId="13" fillId="6" borderId="0" xfId="2" applyNumberFormat="1" applyFont="1" applyFill="1" applyAlignment="1">
      <alignment horizontal="center" vertical="center"/>
    </xf>
    <xf numFmtId="0" fontId="2" fillId="6" borderId="0" xfId="2" applyFont="1" applyFill="1" applyAlignment="1">
      <alignment vertical="center"/>
    </xf>
    <xf numFmtId="0" fontId="2" fillId="6" borderId="13" xfId="2" applyFont="1" applyFill="1" applyBorder="1" applyAlignment="1">
      <alignment vertical="center"/>
    </xf>
    <xf numFmtId="0" fontId="2" fillId="0" borderId="13" xfId="2" applyFont="1" applyBorder="1" applyAlignment="1">
      <alignment vertical="center"/>
    </xf>
    <xf numFmtId="164" fontId="4" fillId="7" borderId="14" xfId="2" applyNumberFormat="1" applyFont="1" applyFill="1" applyBorder="1" applyAlignment="1">
      <alignment vertical="center"/>
    </xf>
    <xf numFmtId="164" fontId="2" fillId="0" borderId="13" xfId="2" applyNumberFormat="1" applyFont="1" applyBorder="1" applyAlignment="1">
      <alignment horizontal="center" vertical="center"/>
    </xf>
    <xf numFmtId="171" fontId="2" fillId="0" borderId="0" xfId="2" applyNumberFormat="1" applyFont="1" applyAlignment="1">
      <alignment horizontal="center" vertical="center"/>
    </xf>
    <xf numFmtId="164" fontId="2" fillId="0" borderId="14" xfId="3" applyNumberFormat="1" applyFont="1" applyBorder="1" applyAlignment="1">
      <alignment horizontal="center" vertical="center"/>
    </xf>
    <xf numFmtId="172" fontId="14" fillId="6" borderId="14" xfId="2" applyNumberFormat="1" applyFont="1" applyFill="1" applyBorder="1" applyAlignment="1">
      <alignment horizontal="right" vertical="center"/>
    </xf>
    <xf numFmtId="0" fontId="2" fillId="0" borderId="10" xfId="2" applyFont="1" applyBorder="1" applyAlignment="1">
      <alignment vertical="center"/>
    </xf>
    <xf numFmtId="10" fontId="4" fillId="7" borderId="11" xfId="2" applyNumberFormat="1" applyFont="1" applyFill="1" applyBorder="1" applyAlignment="1">
      <alignment vertical="center"/>
    </xf>
    <xf numFmtId="164" fontId="3" fillId="8" borderId="4" xfId="2" applyNumberFormat="1" applyFont="1" applyFill="1" applyBorder="1" applyAlignment="1">
      <alignment horizontal="center" vertical="center"/>
    </xf>
    <xf numFmtId="171" fontId="3" fillId="8" borderId="1" xfId="2" applyNumberFormat="1" applyFont="1" applyFill="1" applyBorder="1" applyAlignment="1">
      <alignment horizontal="center" vertical="center"/>
    </xf>
    <xf numFmtId="164" fontId="3" fillId="8" borderId="15" xfId="3" applyNumberFormat="1" applyFont="1" applyFill="1" applyBorder="1" applyAlignment="1">
      <alignment horizontal="center" vertical="center"/>
    </xf>
    <xf numFmtId="0" fontId="3" fillId="8" borderId="4" xfId="2" applyFont="1" applyFill="1" applyBorder="1" applyAlignment="1">
      <alignment vertical="center"/>
    </xf>
    <xf numFmtId="164" fontId="2" fillId="0" borderId="10" xfId="2" applyNumberFormat="1" applyFont="1" applyBorder="1" applyAlignment="1">
      <alignment horizontal="center" vertical="center"/>
    </xf>
    <xf numFmtId="171" fontId="2" fillId="0" borderId="12" xfId="2" applyNumberFormat="1" applyFont="1" applyBorder="1" applyAlignment="1">
      <alignment horizontal="center" vertical="center"/>
    </xf>
    <xf numFmtId="164" fontId="2" fillId="0" borderId="11" xfId="3" applyNumberFormat="1" applyFont="1" applyBorder="1" applyAlignment="1">
      <alignment horizontal="center" vertical="center"/>
    </xf>
    <xf numFmtId="0" fontId="13" fillId="6" borderId="0" xfId="2" applyFont="1" applyFill="1" applyAlignment="1">
      <alignment horizontal="center" vertical="center"/>
    </xf>
    <xf numFmtId="175" fontId="2" fillId="0" borderId="0" xfId="2" applyNumberFormat="1" applyFont="1" applyAlignment="1">
      <alignment horizontal="center" vertical="center"/>
    </xf>
    <xf numFmtId="175" fontId="2" fillId="0" borderId="0" xfId="2" applyNumberFormat="1" applyFont="1" applyAlignment="1">
      <alignment vertical="center"/>
    </xf>
    <xf numFmtId="0" fontId="2" fillId="0" borderId="7" xfId="2" applyFont="1" applyBorder="1" applyAlignment="1">
      <alignment vertical="center"/>
    </xf>
    <xf numFmtId="0" fontId="2" fillId="0" borderId="9" xfId="2" applyFont="1" applyBorder="1" applyAlignment="1">
      <alignment vertical="center"/>
    </xf>
    <xf numFmtId="175" fontId="2" fillId="0" borderId="9" xfId="2" applyNumberFormat="1" applyFont="1" applyBorder="1" applyAlignment="1">
      <alignment horizontal="center" vertical="center"/>
    </xf>
    <xf numFmtId="175" fontId="2" fillId="0" borderId="8" xfId="2" applyNumberFormat="1" applyFont="1" applyBorder="1" applyAlignment="1">
      <alignment horizontal="center" vertical="center"/>
    </xf>
    <xf numFmtId="0" fontId="2" fillId="0" borderId="12" xfId="2" applyFont="1" applyBorder="1" applyAlignment="1">
      <alignment vertical="center"/>
    </xf>
    <xf numFmtId="175" fontId="2" fillId="0" borderId="12" xfId="2" applyNumberFormat="1" applyFont="1" applyBorder="1" applyAlignment="1">
      <alignment horizontal="center" vertical="center"/>
    </xf>
    <xf numFmtId="175" fontId="2" fillId="0" borderId="11" xfId="2" applyNumberFormat="1" applyFont="1" applyBorder="1" applyAlignment="1">
      <alignment horizontal="center" vertical="center"/>
    </xf>
    <xf numFmtId="9" fontId="2" fillId="0" borderId="0" xfId="2" applyNumberFormat="1" applyFont="1" applyAlignment="1">
      <alignment vertical="center"/>
    </xf>
    <xf numFmtId="3" fontId="2" fillId="0" borderId="0" xfId="2" applyNumberFormat="1" applyFont="1" applyAlignment="1">
      <alignment vertical="center"/>
    </xf>
    <xf numFmtId="164" fontId="2" fillId="0" borderId="0" xfId="2" applyNumberFormat="1" applyFont="1" applyAlignment="1">
      <alignment vertical="center"/>
    </xf>
    <xf numFmtId="3" fontId="2" fillId="7" borderId="14" xfId="2" applyNumberFormat="1" applyFont="1" applyFill="1" applyBorder="1" applyAlignment="1">
      <alignment horizontal="right" vertical="center"/>
    </xf>
    <xf numFmtId="176" fontId="3" fillId="8" borderId="15" xfId="2" applyNumberFormat="1" applyFont="1" applyFill="1" applyBorder="1" applyAlignment="1">
      <alignment horizontal="right" vertical="center"/>
    </xf>
    <xf numFmtId="0" fontId="0" fillId="11" borderId="0" xfId="0" applyFill="1" applyAlignment="1">
      <alignment vertical="center"/>
    </xf>
    <xf numFmtId="0" fontId="0" fillId="11" borderId="3" xfId="0" applyFill="1" applyBorder="1" applyAlignment="1">
      <alignment vertical="center"/>
    </xf>
    <xf numFmtId="166" fontId="0" fillId="11" borderId="0" xfId="0" applyNumberFormat="1" applyFill="1" applyAlignment="1">
      <alignment horizontal="center" vertical="center"/>
    </xf>
    <xf numFmtId="166" fontId="0" fillId="11" borderId="3" xfId="0" applyNumberFormat="1" applyFill="1" applyBorder="1" applyAlignment="1">
      <alignment horizontal="center" vertical="center"/>
    </xf>
    <xf numFmtId="166" fontId="0" fillId="11" borderId="3" xfId="0" applyNumberFormat="1" applyFill="1" applyBorder="1" applyAlignment="1">
      <alignment vertical="center"/>
    </xf>
    <xf numFmtId="0" fontId="5" fillId="11" borderId="0" xfId="0" applyFont="1" applyFill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166" fontId="3" fillId="11" borderId="3" xfId="0" applyNumberFormat="1" applyFont="1" applyFill="1" applyBorder="1" applyAlignment="1">
      <alignment horizontal="center" vertical="center"/>
    </xf>
    <xf numFmtId="0" fontId="5" fillId="11" borderId="0" xfId="0" applyFont="1" applyFill="1" applyAlignment="1">
      <alignment vertical="center"/>
    </xf>
    <xf numFmtId="166" fontId="5" fillId="11" borderId="3" xfId="0" applyNumberFormat="1" applyFont="1" applyFill="1" applyBorder="1" applyAlignment="1">
      <alignment vertical="center"/>
    </xf>
    <xf numFmtId="0" fontId="3" fillId="0" borderId="1" xfId="2" applyFont="1" applyBorder="1" applyAlignment="1">
      <alignment vertical="center"/>
    </xf>
    <xf numFmtId="0" fontId="2" fillId="0" borderId="1" xfId="2" applyFont="1" applyBorder="1" applyAlignment="1">
      <alignment vertical="center"/>
    </xf>
    <xf numFmtId="175" fontId="3" fillId="0" borderId="1" xfId="2" applyNumberFormat="1" applyFont="1" applyBorder="1" applyAlignment="1">
      <alignment horizontal="center" vertical="center"/>
    </xf>
    <xf numFmtId="0" fontId="3" fillId="10" borderId="1" xfId="2" applyFont="1" applyFill="1" applyBorder="1" applyAlignment="1">
      <alignment vertical="center"/>
    </xf>
    <xf numFmtId="0" fontId="3" fillId="10" borderId="1" xfId="2" applyFont="1" applyFill="1" applyBorder="1" applyAlignment="1">
      <alignment horizontal="center" vertical="center"/>
    </xf>
    <xf numFmtId="0" fontId="14" fillId="9" borderId="1" xfId="2" applyFont="1" applyFill="1" applyBorder="1" applyAlignment="1">
      <alignment horizontal="center" vertical="center"/>
    </xf>
    <xf numFmtId="0" fontId="3" fillId="0" borderId="12" xfId="2" applyFont="1" applyBorder="1" applyAlignment="1">
      <alignment vertical="center"/>
    </xf>
    <xf numFmtId="175" fontId="3" fillId="0" borderId="12" xfId="2" applyNumberFormat="1" applyFont="1" applyBorder="1" applyAlignment="1">
      <alignment horizontal="center" vertical="center"/>
    </xf>
    <xf numFmtId="173" fontId="2" fillId="7" borderId="9" xfId="2" applyNumberFormat="1" applyFont="1" applyFill="1" applyBorder="1" applyAlignment="1">
      <alignment horizontal="center" vertical="center"/>
    </xf>
    <xf numFmtId="173" fontId="2" fillId="0" borderId="9" xfId="2" applyNumberFormat="1" applyFont="1" applyBorder="1" applyAlignment="1">
      <alignment horizontal="center" vertical="center"/>
    </xf>
    <xf numFmtId="174" fontId="2" fillId="0" borderId="12" xfId="2" applyNumberFormat="1" applyFont="1" applyBorder="1" applyAlignment="1">
      <alignment horizontal="center" vertical="center"/>
    </xf>
    <xf numFmtId="0" fontId="3" fillId="8" borderId="9" xfId="2" applyFont="1" applyFill="1" applyBorder="1" applyAlignment="1">
      <alignment vertical="center"/>
    </xf>
    <xf numFmtId="175" fontId="3" fillId="8" borderId="9" xfId="2" applyNumberFormat="1" applyFont="1" applyFill="1" applyBorder="1" applyAlignment="1">
      <alignment horizontal="center" vertical="center"/>
    </xf>
    <xf numFmtId="0" fontId="2" fillId="0" borderId="0" xfId="4" applyFont="1" applyAlignment="1">
      <alignment horizontal="left" indent="1"/>
    </xf>
    <xf numFmtId="0" fontId="2" fillId="0" borderId="16" xfId="4" applyFont="1" applyBorder="1" applyAlignment="1">
      <alignment horizontal="left" vertical="center"/>
    </xf>
    <xf numFmtId="9" fontId="4" fillId="5" borderId="17" xfId="4" applyNumberFormat="1" applyFont="1" applyFill="1" applyBorder="1" applyAlignment="1">
      <alignment vertical="center"/>
    </xf>
    <xf numFmtId="0" fontId="2" fillId="0" borderId="18" xfId="4" applyFont="1" applyBorder="1" applyAlignment="1">
      <alignment horizontal="left" vertical="center"/>
    </xf>
    <xf numFmtId="9" fontId="4" fillId="5" borderId="19" xfId="4" applyNumberFormat="1" applyFont="1" applyFill="1" applyBorder="1" applyAlignment="1">
      <alignment vertical="center"/>
    </xf>
    <xf numFmtId="0" fontId="3" fillId="0" borderId="20" xfId="4" applyFont="1" applyBorder="1" applyAlignment="1">
      <alignment horizontal="left" vertical="center"/>
    </xf>
    <xf numFmtId="0" fontId="3" fillId="0" borderId="21" xfId="4" applyFont="1" applyBorder="1" applyAlignment="1">
      <alignment vertical="center"/>
    </xf>
    <xf numFmtId="0" fontId="3" fillId="10" borderId="7" xfId="2" applyFont="1" applyFill="1" applyBorder="1" applyAlignment="1">
      <alignment horizontal="center" vertical="center"/>
    </xf>
    <xf numFmtId="0" fontId="3" fillId="10" borderId="8" xfId="2" applyFont="1" applyFill="1" applyBorder="1" applyAlignment="1">
      <alignment horizontal="center" vertical="center"/>
    </xf>
    <xf numFmtId="0" fontId="3" fillId="10" borderId="10" xfId="2" applyFont="1" applyFill="1" applyBorder="1" applyAlignment="1">
      <alignment horizontal="center" vertical="center"/>
    </xf>
    <xf numFmtId="0" fontId="3" fillId="10" borderId="11" xfId="2" applyFont="1" applyFill="1" applyBorder="1" applyAlignment="1">
      <alignment horizontal="center" vertical="center"/>
    </xf>
    <xf numFmtId="0" fontId="3" fillId="10" borderId="9" xfId="2" applyFont="1" applyFill="1" applyBorder="1" applyAlignment="1">
      <alignment horizontal="center" vertical="center"/>
    </xf>
    <xf numFmtId="168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8" fontId="0" fillId="0" borderId="0" xfId="0" applyNumberFormat="1" applyFont="1" applyAlignment="1">
      <alignment horizontal="center" vertical="center"/>
    </xf>
    <xf numFmtId="168" fontId="0" fillId="0" borderId="3" xfId="0" applyNumberFormat="1" applyFont="1" applyBorder="1" applyAlignment="1">
      <alignment horizontal="center" vertical="center"/>
    </xf>
  </cellXfs>
  <cellStyles count="6">
    <cellStyle name="Normal" xfId="0" builtinId="0"/>
    <cellStyle name="Normal 2" xfId="2" xr:uid="{CE0EC279-718F-4568-BE5C-A31C7F59DEBB}"/>
    <cellStyle name="Normal 3" xfId="4" xr:uid="{DA7D61E1-F0C3-48BA-A39A-EC30B5A5D8CB}"/>
    <cellStyle name="Percent" xfId="1" builtinId="5"/>
    <cellStyle name="Percent 2" xfId="3" xr:uid="{71F71DEF-75D3-43F9-A4E5-91020383E780}"/>
    <cellStyle name="Percent 3" xfId="5" xr:uid="{4909FA23-C605-404B-9AF4-F6BC59EFD09A}"/>
  </cellStyles>
  <dxfs count="0"/>
  <tableStyles count="0" defaultTableStyle="TableStyleMedium2" defaultPivotStyle="PivotStyleLight16"/>
  <colors>
    <mruColors>
      <color rgb="FF0000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aredStrings" Target="sharedStrings.xml"/><Relationship Id="rId26" Type="http://schemas.microsoft.com/office/2017/10/relationships/person" Target="persons/person.xml"/><Relationship Id="rId3" Type="http://schemas.openxmlformats.org/officeDocument/2006/relationships/externalLink" Target="externalLinks/externalLink1.xml"/><Relationship Id="rId21" Type="http://schemas.microsoft.com/office/2017/06/relationships/rdRichValueStructure" Target="richData/rdrichvaluestructure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tyles" Target="styles.xml"/><Relationship Id="rId25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microsoft.com/office/2017/06/relationships/rdSupportingPropertyBag" Target="richData/rdsupportingpropertybag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microsoft.com/office/2017/06/relationships/rdSupportingPropertyBagStructure" Target="richData/rdsupportingpropertybagstructure.xml"/><Relationship Id="rId10" Type="http://schemas.openxmlformats.org/officeDocument/2006/relationships/externalLink" Target="externalLinks/externalLink8.xml"/><Relationship Id="rId19" Type="http://schemas.openxmlformats.org/officeDocument/2006/relationships/sheetMetadata" Target="metadata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microsoft.com/office/2017/06/relationships/richStyles" Target="richData/richStyles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ont1\Corporativo\planejamento\Arquivos%20X\Business%20Plan\BP'S%202007\BR-11\planejamento\Projetos\Plano%20Internacionalizacao\MY%20DOCUMENTS\WORK\Product%20Baseline0105%20LIVESTOCK%20DAIRY%20S&amp;U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0\Research\CTB\CTB\Balanco\Dez09\Pasbal\B-ConsGeral+Sa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ont1\Corporativo\planejamento\Arquivos%20X\Business%20Plan\BP'S%202007\BR-11\planejamento\Projetos\Plano%20Internacionalizacao\Baseline%20projections%20-%202005%20201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0\Research\ctb\CTB\Balanco\Mar99\Pasbal\B-CON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revna\common\My%20Documents\Equity%20Research\np45cathay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0\Research\ctb\CTB\Balanco\Dez98\PASTRI\B-c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POA01\jupiter\cts_pub\Eleg&#234;\2001\Caderno%20de%20estatistica\Mar99\5-Movimenta&#231;&#227;o%20de%20Pesso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rserver1\Albatross\INVEST\MandA\DEALS\Active\Airborne\Model\Model40a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Q:/Mario/Research/Retail/Meli/Modelo%20MELI%20.xlsx" TargetMode="External"/><Relationship Id="rId1" Type="http://schemas.openxmlformats.org/officeDocument/2006/relationships/externalLinkPath" Target="file:///Q:\Mario\Research\Retail\Meli\Modelo%20MELI%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2\Albatross\TEMP\Metal%20Bulletin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ont1\corporativo\planejamento\RI%20&amp;%20AFINS\panorama%20WWC\2007\RELAT%20ANUAL%201Q200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0\Research\Controladoria\IFRS\Reporting%20Package\Agro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cin\DAD7\CSAMAN\corpo\excel\MODEL\sc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Livestock2004"/>
      <sheetName val="Livestock Compare"/>
      <sheetName val="Livestock2005"/>
      <sheetName val="Dairy2004"/>
      <sheetName val="Dairy Compare"/>
      <sheetName val="Dairy2005"/>
      <sheetName val="CompareOfUS"/>
      <sheetName val="LivestockCharts"/>
      <sheetName val="World Charts"/>
      <sheetName val="Beef Charts"/>
      <sheetName val="Pork Charts"/>
      <sheetName val="Broiler Charts"/>
      <sheetName val="Gráf. CLT s ROL"/>
      <sheetName val="Drop Down List"/>
      <sheetName val="2ª Quinz"/>
      <sheetName val="NII"/>
      <sheetName val="Monthly"/>
      <sheetName val="PERFIL_ADV"/>
      <sheetName val="Balanço"/>
      <sheetName val="Product Baseline0105 LIVESTOCK "/>
      <sheetName val="Dashboard"/>
      <sheetName val="Livestock_Compare"/>
      <sheetName val="Dairy_Compare"/>
      <sheetName val="World_Charts"/>
      <sheetName val="Beef_Charts"/>
      <sheetName val="Pork_Charts"/>
      <sheetName val="Broiler_Charts"/>
      <sheetName val="Gráf__CLT_s_ROL"/>
      <sheetName val="Drop_Down_List"/>
      <sheetName val="2ª_Quinz"/>
      <sheetName val="Product_Baseline0105_LIVESTOCK_"/>
      <sheetName val="Status_GAPs em 30_Ag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ço"/>
      <sheetName val="Resultado Previsto"/>
      <sheetName val="Resultado"/>
      <sheetName val="Indicadores"/>
      <sheetName val="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pri-POP"/>
      <sheetName val="POP-MAR05"/>
      <sheetName val="Fapri-POP (2)"/>
      <sheetName val="POP-CIA"/>
      <sheetName val="TOTAL POP"/>
      <sheetName val="GDP"/>
      <sheetName val="Fapri-LIVESTOCK"/>
      <sheetName val="USDA-BEEF"/>
      <sheetName val="USDA-PORK"/>
      <sheetName val="USDA-POULTRY"/>
      <sheetName val="Stomach"/>
      <sheetName val="share"/>
      <sheetName val="BEEF-FAO"/>
      <sheetName val="SUINOS-FAO"/>
      <sheetName val="AVES-FAO"/>
      <sheetName val="CUSTOS"/>
      <sheetName val="PROD CONS POULTRY"/>
      <sheetName val="PROD CONS PORK"/>
      <sheetName val="prod 60-05"/>
      <sheetName val="TRADE COMP"/>
      <sheetName val="DRIVERS"/>
      <sheetName val="USDA-Beef (2)"/>
      <sheetName val="USDA-Pork (2)"/>
      <sheetName val="USDA-Poultry (2)"/>
      <sheetName val="Padrao Motivos"/>
      <sheetName val="Validação de Dados"/>
      <sheetName val="Itens de verificação"/>
      <sheetName val="Data Pareto-Dam"/>
      <sheetName val="Reference List"/>
      <sheetName val="Sheet2"/>
      <sheetName val="Fapri-POP_(2)"/>
      <sheetName val="TOTAL_POP"/>
      <sheetName val="PROD_CONS_POULTRY"/>
      <sheetName val="PROD_CONS_PORK"/>
      <sheetName val="prod_60-05"/>
      <sheetName val="TRADE_COMP"/>
      <sheetName val="USDA-Beef_(2)"/>
      <sheetName val="USDA-Pork_(2)"/>
      <sheetName val="USDA-Poultry_(2)"/>
      <sheetName val="validation_of_customer"/>
      <sheetName val="List_CEENTHGER"/>
      <sheetName val="BRF_Sourcing"/>
      <sheetName val="Clients"/>
      <sheetName val="validation of customer"/>
      <sheetName val="List CEENTHGER"/>
      <sheetName val="BRF Sourcing"/>
      <sheetName val="Products"/>
      <sheetName val="NEW CLIENT DATABASE"/>
      <sheetName val="Types"/>
      <sheetName val="Accounts"/>
      <sheetName val="Tipos"/>
      <sheetName val="Fapri-POP_(2)1"/>
      <sheetName val="TOTAL_POP1"/>
      <sheetName val="PROD_CONS_POULTRY1"/>
      <sheetName val="PROD_CONS_PORK1"/>
      <sheetName val="prod_60-051"/>
      <sheetName val="TRADE_COMP1"/>
      <sheetName val="USDA-Beef_(2)1"/>
      <sheetName val="USDA-Pork_(2)1"/>
      <sheetName val="USDA-Poultry_(2)1"/>
      <sheetName val="Padrao_Motivos"/>
      <sheetName val="Validação_de_Dados"/>
      <sheetName val="Itens_de_verificação"/>
      <sheetName val="Data_Pareto-Dam"/>
      <sheetName val="Reference_List"/>
      <sheetName val="validation_of_customer1"/>
      <sheetName val="List_CEENTHGER1"/>
      <sheetName val="BRF_Sourcing1"/>
      <sheetName val="NEW_CLIENT_DATA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">
          <cell r="E3">
            <v>2003</v>
          </cell>
          <cell r="F3">
            <v>2004</v>
          </cell>
          <cell r="G3">
            <v>2005</v>
          </cell>
          <cell r="H3">
            <v>2006</v>
          </cell>
          <cell r="I3">
            <v>2007</v>
          </cell>
          <cell r="J3">
            <v>2008</v>
          </cell>
          <cell r="K3">
            <v>2009</v>
          </cell>
          <cell r="L3">
            <v>2010</v>
          </cell>
          <cell r="M3">
            <v>2011</v>
          </cell>
          <cell r="N3">
            <v>2012</v>
          </cell>
          <cell r="O3">
            <v>2013</v>
          </cell>
        </row>
        <row r="25">
          <cell r="E25">
            <v>6618.8469999999998</v>
          </cell>
          <cell r="F25">
            <v>6727.1589999999997</v>
          </cell>
          <cell r="G25">
            <v>7506.2143999999998</v>
          </cell>
          <cell r="H25">
            <v>8190.8097364319092</v>
          </cell>
          <cell r="I25">
            <v>8849.5052299432627</v>
          </cell>
          <cell r="J25">
            <v>9395.0334969002506</v>
          </cell>
          <cell r="K25">
            <v>9828.8192664579401</v>
          </cell>
          <cell r="L25">
            <v>10092.61772835667</v>
          </cell>
          <cell r="M25">
            <v>10369.20333817573</v>
          </cell>
          <cell r="N25">
            <v>10657.695015438745</v>
          </cell>
          <cell r="O25">
            <v>10958.788578753221</v>
          </cell>
        </row>
        <row r="38">
          <cell r="E38">
            <v>6618.8469999999998</v>
          </cell>
          <cell r="F38">
            <v>6727.1589999999997</v>
          </cell>
          <cell r="G38">
            <v>7506.2143999999998</v>
          </cell>
          <cell r="H38">
            <v>8190.8097364319092</v>
          </cell>
          <cell r="I38">
            <v>8849.5052299432627</v>
          </cell>
          <cell r="J38">
            <v>9395.0334969002506</v>
          </cell>
          <cell r="K38">
            <v>9828.8192664579401</v>
          </cell>
          <cell r="L38">
            <v>10092.61772835667</v>
          </cell>
          <cell r="M38">
            <v>10369.20333817573</v>
          </cell>
          <cell r="N38">
            <v>10657.695015438745</v>
          </cell>
          <cell r="O38">
            <v>10958.788578753221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ço"/>
      <sheetName val="Situação Patrimonial"/>
      <sheetName val="Indicadores"/>
      <sheetName val="base 1998 "/>
      <sheetName val="Base AVP"/>
      <sheetName val="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face"/>
      <sheetName val="newtemp"/>
      <sheetName val="NPEVA"/>
      <sheetName val="Spark"/>
      <sheetName val="PERG"/>
      <sheetName val="Depreciation"/>
      <sheetName val="air fares"/>
      <sheetName val="sensitivity"/>
      <sheetName val="Implied ROIC Calculation"/>
      <sheetName val="EVA"/>
      <sheetName val="ROE"/>
      <sheetName val="Harvey - CATHAY PACIFIC "/>
      <sheetName val="plf and yield historic"/>
      <sheetName val="front page (2)"/>
      <sheetName val="cathayforecasts"/>
      <sheetName val="Sample Layout (new)"/>
      <sheetName val="Sample Layout"/>
      <sheetName val="Lojas Fisicas"/>
      <sheetName val="air_fares"/>
      <sheetName val="Implied_ROIC_Calculation"/>
      <sheetName val="Harvey_-_CATHAY_PACIFIC_"/>
      <sheetName val="plf_and_yield_historic"/>
      <sheetName val="front_page_(2)"/>
      <sheetName val="Sample_Layout_(new)"/>
      <sheetName val="Sample_Layout"/>
      <sheetName val="MASK"/>
      <sheetName val="ABL CORREN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.M.I."/>
      <sheetName val="Societário"/>
      <sheetName val="Macro"/>
    </sheetNames>
    <sheetDataSet>
      <sheetData sheetId="0"/>
      <sheetData sheetId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imentação"/>
      <sheetName val="Evol.Mensal  - 2º sem."/>
      <sheetName val="Evol.Mensal - 1º sem."/>
      <sheetName val="Evolução H.Extras"/>
      <sheetName val="Evolução nr. pessoal"/>
      <sheetName val="Evol.perc."/>
      <sheetName val="Evolução das Despesas - Dolar"/>
      <sheetName val="Balanço"/>
      <sheetName val="ACUMULADO"/>
      <sheetName val="Índices"/>
      <sheetName val="Itens de verificação"/>
      <sheetName val="Abr 03"/>
      <sheetName val="Ago 03"/>
      <sheetName val="Dez 03"/>
      <sheetName val="Fev 03"/>
      <sheetName val="Jul 03"/>
      <sheetName val="Mai 03"/>
      <sheetName val="Mar 03"/>
      <sheetName val="Nov 03"/>
      <sheetName val="Out 03"/>
      <sheetName val="Set 03"/>
      <sheetName val="Jan 03"/>
      <sheetName val="Jun 03"/>
      <sheetName val="Cad"/>
      <sheetName val="Evol_Mensal__-_2º_sem_"/>
      <sheetName val="Evol_Mensal_-_1º_sem_"/>
      <sheetName val="Evolução_H_Extras"/>
      <sheetName val="Evolução_nr__pessoal"/>
      <sheetName val="Evol_perc_"/>
      <sheetName val="Evolução_das_Despesas_-_Dolar"/>
      <sheetName val="Evol_Mensal__-_2º_sem_1"/>
      <sheetName val="Evol_Mensal_-_1º_sem_1"/>
      <sheetName val="Evolução_H_Extras1"/>
      <sheetName val="Evolução_nr__pessoal1"/>
      <sheetName val="Evol_perc_1"/>
      <sheetName val="Evolução_das_Despesas_-_Dolar1"/>
      <sheetName val="Itens_de_verificação"/>
      <sheetName val="Abr_03"/>
      <sheetName val="Ago_03"/>
      <sheetName val="Dez_03"/>
      <sheetName val="Fev_03"/>
      <sheetName val="Jul_03"/>
      <sheetName val="Mai_03"/>
      <sheetName val="Mar_03"/>
      <sheetName val="Nov_03"/>
      <sheetName val="Out_03"/>
      <sheetName val="Set_03"/>
      <sheetName val="Jan_03"/>
      <sheetName val="Jun_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gDecimals"/>
      <sheetName val="__FDSCACHE__"/>
      <sheetName val="ValMatrixFair"/>
      <sheetName val="ValMatrixMemo"/>
      <sheetName val="Deal"/>
      <sheetName val="Acquiror"/>
      <sheetName val="Target"/>
      <sheetName val="ValuationT"/>
      <sheetName val="ValuationA"/>
      <sheetName val="Warrants"/>
      <sheetName val="sumtable"/>
      <sheetName val="Model Assumptions"/>
      <sheetName val="Deal Summary"/>
      <sheetName val="Sensitivities"/>
      <sheetName val="Cap Tables"/>
      <sheetName val="Global"/>
      <sheetName val="TermCharts"/>
      <sheetName val="ArrivalCharts"/>
      <sheetName val="ValMatrix"/>
      <sheetName val="Corporate"/>
      <sheetName val="Paint"/>
      <sheetName val="Batteries"/>
      <sheetName val="Scales"/>
      <sheetName val="AvExGrn2000"/>
      <sheetName val="AvExGrn2000.1"/>
      <sheetName val="AvExLa2000"/>
      <sheetName val="AvExLa2000.1"/>
      <sheetName val="AvExPdx2000"/>
      <sheetName val="AvExPdx2000.1"/>
      <sheetName val="TargetCan"/>
      <sheetName val="Multimedia"/>
      <sheetName val="Trvl_Prod"/>
      <sheetName val="Trvl_Dist"/>
      <sheetName val="800"/>
      <sheetName val="Tech"/>
      <sheetName val="G&amp;Aexcl"/>
      <sheetName val="Shareholders"/>
      <sheetName val="2000"/>
      <sheetName val="1999"/>
      <sheetName val="1998"/>
      <sheetName val="Summary"/>
      <sheetName val="Instructions"/>
      <sheetName val="wCodeTable"/>
      <sheetName val="TestingMacros"/>
      <sheetName val="mMain"/>
      <sheetName val="mdPrintMgr"/>
      <sheetName val="mGlobal"/>
      <sheetName val="dPrintMgr"/>
      <sheetName val="dGoto"/>
      <sheetName val="dScenarioMgr"/>
      <sheetName val="mDataTables"/>
      <sheetName val="mdecimals"/>
      <sheetName val="mdScenarioMgr"/>
      <sheetName val="mdGoto"/>
      <sheetName val="mSavePS"/>
      <sheetName val="mErrorHandler"/>
      <sheetName val="Model_Assumptions"/>
      <sheetName val="Deal_Summary"/>
      <sheetName val="Cap_Tables"/>
      <sheetName val="AvExGrn2000_1"/>
      <sheetName val="AvExLa2000_1"/>
      <sheetName val="AvExPdx2000_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K"/>
      <sheetName val="Financials"/>
      <sheetName val="Asset Quality"/>
      <sheetName val="Cockpit"/>
      <sheetName val="KPIs"/>
      <sheetName val="B.Up"/>
      <sheetName val="Outros"/>
      <sheetName val="Vs."/>
      <sheetName val="Grafícos"/>
      <sheetName val="Modelo MELI "/>
    </sheetNames>
    <sheetDataSet>
      <sheetData sheetId="0">
        <row r="1">
          <cell r="ET1" t="str">
            <v>1Q10</v>
          </cell>
        </row>
        <row r="5">
          <cell r="Q5">
            <v>873.12018244312014</v>
          </cell>
        </row>
        <row r="6">
          <cell r="B6" t="str">
            <v>3Q25</v>
          </cell>
          <cell r="Q6">
            <v>873.12018244312014</v>
          </cell>
        </row>
        <row r="8">
          <cell r="EV8">
            <v>2025</v>
          </cell>
        </row>
        <row r="9">
          <cell r="B9">
            <v>50.7</v>
          </cell>
          <cell r="EV9">
            <v>2026</v>
          </cell>
        </row>
        <row r="10">
          <cell r="EV10">
            <v>23</v>
          </cell>
        </row>
        <row r="11">
          <cell r="EV11">
            <v>212</v>
          </cell>
        </row>
        <row r="12">
          <cell r="EV12">
            <v>1.0958904109589041E-2</v>
          </cell>
        </row>
        <row r="13">
          <cell r="EV13">
            <v>46027</v>
          </cell>
        </row>
        <row r="15">
          <cell r="D15">
            <v>0</v>
          </cell>
          <cell r="EV15">
            <v>12</v>
          </cell>
        </row>
        <row r="16">
          <cell r="EV16">
            <v>22</v>
          </cell>
        </row>
        <row r="17">
          <cell r="B17">
            <v>100066.59000000001</v>
          </cell>
        </row>
        <row r="18">
          <cell r="B18">
            <v>100066.59000000001</v>
          </cell>
          <cell r="EV18">
            <v>45930</v>
          </cell>
        </row>
        <row r="22">
          <cell r="B22">
            <v>100894.59000000001</v>
          </cell>
        </row>
        <row r="24">
          <cell r="B24">
            <v>2035</v>
          </cell>
        </row>
        <row r="25">
          <cell r="B25">
            <v>2.5000000000000001E-2</v>
          </cell>
        </row>
        <row r="26">
          <cell r="B26">
            <v>0.04</v>
          </cell>
        </row>
        <row r="27">
          <cell r="B27">
            <v>6.5999999999999837E-2</v>
          </cell>
        </row>
        <row r="28">
          <cell r="B28">
            <v>0.17</v>
          </cell>
        </row>
        <row r="29">
          <cell r="B29">
            <v>0.17</v>
          </cell>
        </row>
        <row r="65">
          <cell r="AW65">
            <v>2</v>
          </cell>
        </row>
        <row r="463">
          <cell r="B463">
            <v>44267.193249866192</v>
          </cell>
        </row>
        <row r="466">
          <cell r="B466">
            <v>44267.193249866192</v>
          </cell>
        </row>
        <row r="671">
          <cell r="C671" t="str">
            <v>A</v>
          </cell>
        </row>
        <row r="672">
          <cell r="C672" t="str">
            <v>P/E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"/>
      <sheetName val="daily"/>
      <sheetName val="monthly China"/>
      <sheetName val="daily China"/>
      <sheetName val="base_stainless"/>
      <sheetName val="base"/>
      <sheetName val="LME Vs Met.Bul. Nickel"/>
      <sheetName val="nickel"/>
      <sheetName val="stainless_Europe"/>
      <sheetName val="stainless_China"/>
      <sheetName val="Graph"/>
      <sheetName val="cmp"/>
      <sheetName val="GNR"/>
      <sheetName val="Base - Linha de Produtos"/>
    </sheetNames>
    <sheetDataSet>
      <sheetData sheetId="0" refreshError="1"/>
      <sheetData sheetId="1" refreshError="1">
        <row r="4">
          <cell r="B4">
            <v>33928</v>
          </cell>
          <cell r="E4">
            <v>33928</v>
          </cell>
          <cell r="H4">
            <v>33928</v>
          </cell>
          <cell r="K4">
            <v>33928</v>
          </cell>
          <cell r="N4">
            <v>33928</v>
          </cell>
          <cell r="Q4">
            <v>33928</v>
          </cell>
          <cell r="T4">
            <v>33928</v>
          </cell>
          <cell r="W4">
            <v>33928</v>
          </cell>
          <cell r="Z4">
            <v>33928</v>
          </cell>
          <cell r="AC4">
            <v>33928</v>
          </cell>
          <cell r="AF4">
            <v>33928</v>
          </cell>
          <cell r="AI4">
            <v>33928</v>
          </cell>
        </row>
        <row r="5">
          <cell r="K5">
            <v>33931</v>
          </cell>
        </row>
      </sheetData>
      <sheetData sheetId="2" refreshError="1"/>
      <sheetData sheetId="3" refreshError="1"/>
      <sheetData sheetId="4" refreshError="1"/>
      <sheetData sheetId="5" refreshError="1">
        <row r="4">
          <cell r="B4">
            <v>32598</v>
          </cell>
          <cell r="C4">
            <v>266</v>
          </cell>
          <cell r="F4">
            <v>32598</v>
          </cell>
          <cell r="G4">
            <v>265</v>
          </cell>
          <cell r="J4">
            <v>32598</v>
          </cell>
          <cell r="K4" t="str">
            <v>#N/A N.A.</v>
          </cell>
          <cell r="N4">
            <v>32598</v>
          </cell>
          <cell r="O4" t="str">
            <v>#N/A N.A.</v>
          </cell>
          <cell r="T4">
            <v>32598</v>
          </cell>
          <cell r="U4" t="str">
            <v>#N/A N.A.</v>
          </cell>
          <cell r="Z4">
            <v>32598</v>
          </cell>
          <cell r="AA4" t="str">
            <v>#N/A N.A.</v>
          </cell>
          <cell r="AF4">
            <v>32598</v>
          </cell>
          <cell r="AG4" t="str">
            <v>#N/A N.A.</v>
          </cell>
          <cell r="AL4">
            <v>32598</v>
          </cell>
          <cell r="AM4" t="str">
            <v>#N/A N.A.</v>
          </cell>
          <cell r="AP4">
            <v>32598</v>
          </cell>
          <cell r="AV4">
            <v>32598</v>
          </cell>
          <cell r="AZ4">
            <v>32598</v>
          </cell>
          <cell r="BD4">
            <v>32598</v>
          </cell>
          <cell r="BE4" t="str">
            <v>#N/A N.A.</v>
          </cell>
        </row>
        <row r="5">
          <cell r="B5">
            <v>32626</v>
          </cell>
          <cell r="C5">
            <v>273.5</v>
          </cell>
          <cell r="F5">
            <v>32626</v>
          </cell>
          <cell r="G5">
            <v>265</v>
          </cell>
          <cell r="J5">
            <v>32626</v>
          </cell>
          <cell r="K5" t="str">
            <v>#N/A N.A.</v>
          </cell>
          <cell r="N5">
            <v>32626</v>
          </cell>
          <cell r="O5" t="str">
            <v>#N/A N.A.</v>
          </cell>
          <cell r="T5">
            <v>32626</v>
          </cell>
          <cell r="U5" t="str">
            <v>#N/A N.A.</v>
          </cell>
          <cell r="Z5">
            <v>32626</v>
          </cell>
          <cell r="AA5" t="str">
            <v>#N/A N.A.</v>
          </cell>
          <cell r="AF5">
            <v>32626</v>
          </cell>
          <cell r="AG5" t="str">
            <v>#N/A N.A.</v>
          </cell>
          <cell r="AL5">
            <v>32626</v>
          </cell>
          <cell r="AM5" t="str">
            <v>#N/A N.A.</v>
          </cell>
          <cell r="BD5">
            <v>32626</v>
          </cell>
          <cell r="BE5" t="str">
            <v>#N/A N.A.</v>
          </cell>
        </row>
        <row r="6">
          <cell r="B6">
            <v>32659</v>
          </cell>
          <cell r="C6">
            <v>273.5</v>
          </cell>
          <cell r="F6">
            <v>32659</v>
          </cell>
          <cell r="G6">
            <v>260</v>
          </cell>
          <cell r="J6">
            <v>32659</v>
          </cell>
          <cell r="K6" t="str">
            <v>#N/A N.A.</v>
          </cell>
          <cell r="N6">
            <v>32659</v>
          </cell>
          <cell r="O6" t="str">
            <v>#N/A N.A.</v>
          </cell>
          <cell r="T6">
            <v>32659</v>
          </cell>
          <cell r="U6" t="str">
            <v>#N/A N.A.</v>
          </cell>
          <cell r="Z6">
            <v>32659</v>
          </cell>
          <cell r="AA6" t="str">
            <v>#N/A N.A.</v>
          </cell>
          <cell r="AF6">
            <v>32659</v>
          </cell>
          <cell r="AG6" t="str">
            <v>#N/A N.A.</v>
          </cell>
          <cell r="AL6">
            <v>32659</v>
          </cell>
          <cell r="AM6" t="str">
            <v>#N/A N.A.</v>
          </cell>
          <cell r="BD6">
            <v>32659</v>
          </cell>
          <cell r="BE6" t="str">
            <v>#N/A N.A.</v>
          </cell>
        </row>
        <row r="7">
          <cell r="B7">
            <v>32689</v>
          </cell>
          <cell r="C7">
            <v>272.5</v>
          </cell>
          <cell r="F7">
            <v>32689</v>
          </cell>
          <cell r="G7">
            <v>250</v>
          </cell>
          <cell r="J7">
            <v>32689</v>
          </cell>
          <cell r="K7" t="str">
            <v>#N/A N.A.</v>
          </cell>
          <cell r="N7">
            <v>32689</v>
          </cell>
          <cell r="O7" t="str">
            <v>#N/A N.A.</v>
          </cell>
          <cell r="T7">
            <v>32689</v>
          </cell>
          <cell r="U7" t="str">
            <v>#N/A N.A.</v>
          </cell>
          <cell r="Z7">
            <v>32689</v>
          </cell>
          <cell r="AA7" t="str">
            <v>#N/A N.A.</v>
          </cell>
          <cell r="AF7">
            <v>32689</v>
          </cell>
          <cell r="AG7" t="str">
            <v>#N/A N.A.</v>
          </cell>
          <cell r="AL7">
            <v>32689</v>
          </cell>
          <cell r="AM7" t="str">
            <v>#N/A N.A.</v>
          </cell>
          <cell r="BD7">
            <v>32689</v>
          </cell>
          <cell r="BE7" t="str">
            <v>#N/A N.A.</v>
          </cell>
        </row>
        <row r="8">
          <cell r="B8">
            <v>32720</v>
          </cell>
          <cell r="C8">
            <v>262.5</v>
          </cell>
          <cell r="F8">
            <v>32720</v>
          </cell>
          <cell r="G8">
            <v>237.5</v>
          </cell>
          <cell r="J8">
            <v>32720</v>
          </cell>
          <cell r="K8" t="str">
            <v>#N/A N.A.</v>
          </cell>
          <cell r="N8">
            <v>32720</v>
          </cell>
          <cell r="O8" t="str">
            <v>#N/A N.A.</v>
          </cell>
          <cell r="T8">
            <v>32720</v>
          </cell>
          <cell r="U8" t="str">
            <v>#N/A N.A.</v>
          </cell>
          <cell r="Z8">
            <v>32720</v>
          </cell>
          <cell r="AA8" t="str">
            <v>#N/A N.A.</v>
          </cell>
          <cell r="AF8">
            <v>32720</v>
          </cell>
          <cell r="AG8" t="str">
            <v>#N/A N.A.</v>
          </cell>
          <cell r="AL8">
            <v>32720</v>
          </cell>
          <cell r="AM8" t="str">
            <v>#N/A N.A.</v>
          </cell>
          <cell r="BD8">
            <v>32720</v>
          </cell>
          <cell r="BE8" t="str">
            <v>#N/A N.A.</v>
          </cell>
        </row>
        <row r="9">
          <cell r="B9">
            <v>32751</v>
          </cell>
          <cell r="C9">
            <v>252.5</v>
          </cell>
          <cell r="F9">
            <v>32751</v>
          </cell>
          <cell r="G9">
            <v>237.5</v>
          </cell>
          <cell r="J9">
            <v>32751</v>
          </cell>
          <cell r="K9" t="str">
            <v>#N/A N.A.</v>
          </cell>
          <cell r="N9">
            <v>32751</v>
          </cell>
          <cell r="O9" t="str">
            <v>#N/A N.A.</v>
          </cell>
          <cell r="T9">
            <v>32751</v>
          </cell>
          <cell r="U9" t="str">
            <v>#N/A N.A.</v>
          </cell>
          <cell r="Z9">
            <v>32751</v>
          </cell>
          <cell r="AA9" t="str">
            <v>#N/A N.A.</v>
          </cell>
          <cell r="AF9">
            <v>32751</v>
          </cell>
          <cell r="AG9" t="str">
            <v>#N/A N.A.</v>
          </cell>
          <cell r="AL9">
            <v>32751</v>
          </cell>
          <cell r="AM9" t="str">
            <v>#N/A N.A.</v>
          </cell>
          <cell r="BD9">
            <v>32751</v>
          </cell>
          <cell r="BE9" t="str">
            <v>#N/A N.A.</v>
          </cell>
        </row>
        <row r="10">
          <cell r="B10">
            <v>32780</v>
          </cell>
          <cell r="C10">
            <v>247.5</v>
          </cell>
          <cell r="F10">
            <v>32780</v>
          </cell>
          <cell r="G10">
            <v>237.5</v>
          </cell>
          <cell r="J10">
            <v>32780</v>
          </cell>
          <cell r="K10" t="str">
            <v>#N/A N.A.</v>
          </cell>
          <cell r="N10">
            <v>32780</v>
          </cell>
          <cell r="O10" t="str">
            <v>#N/A N.A.</v>
          </cell>
          <cell r="T10">
            <v>32780</v>
          </cell>
          <cell r="U10" t="str">
            <v>#N/A N.A.</v>
          </cell>
          <cell r="Z10">
            <v>32780</v>
          </cell>
          <cell r="AA10" t="str">
            <v>#N/A N.A.</v>
          </cell>
          <cell r="AF10">
            <v>32780</v>
          </cell>
          <cell r="AG10" t="str">
            <v>#N/A N.A.</v>
          </cell>
          <cell r="AL10">
            <v>32780</v>
          </cell>
          <cell r="AM10" t="str">
            <v>#N/A N.A.</v>
          </cell>
          <cell r="BD10">
            <v>32780</v>
          </cell>
          <cell r="BE10" t="str">
            <v>#N/A N.A.</v>
          </cell>
        </row>
        <row r="11">
          <cell r="B11">
            <v>32812</v>
          </cell>
          <cell r="C11">
            <v>247.5</v>
          </cell>
          <cell r="F11">
            <v>32812</v>
          </cell>
          <cell r="G11">
            <v>232.5</v>
          </cell>
          <cell r="J11">
            <v>32812</v>
          </cell>
          <cell r="K11" t="str">
            <v>#N/A N.A.</v>
          </cell>
          <cell r="N11">
            <v>32812</v>
          </cell>
          <cell r="O11" t="str">
            <v>#N/A N.A.</v>
          </cell>
          <cell r="T11">
            <v>32812</v>
          </cell>
          <cell r="U11" t="str">
            <v>#N/A N.A.</v>
          </cell>
          <cell r="Z11">
            <v>32812</v>
          </cell>
          <cell r="AA11" t="str">
            <v>#N/A N.A.</v>
          </cell>
          <cell r="AF11">
            <v>32812</v>
          </cell>
          <cell r="AG11" t="str">
            <v>#N/A N.A.</v>
          </cell>
          <cell r="AL11">
            <v>32812</v>
          </cell>
          <cell r="AM11" t="str">
            <v>#N/A N.A.</v>
          </cell>
          <cell r="BD11">
            <v>32812</v>
          </cell>
          <cell r="BE11" t="str">
            <v>#N/A N.A.</v>
          </cell>
        </row>
        <row r="12">
          <cell r="B12">
            <v>32842</v>
          </cell>
          <cell r="C12">
            <v>245</v>
          </cell>
          <cell r="F12">
            <v>32842</v>
          </cell>
          <cell r="G12">
            <v>220</v>
          </cell>
          <cell r="J12">
            <v>32842</v>
          </cell>
          <cell r="K12" t="str">
            <v>#N/A N.A.</v>
          </cell>
          <cell r="N12">
            <v>32842</v>
          </cell>
          <cell r="O12" t="str">
            <v>#N/A N.A.</v>
          </cell>
          <cell r="T12">
            <v>32842</v>
          </cell>
          <cell r="U12" t="str">
            <v>#N/A N.A.</v>
          </cell>
          <cell r="Z12">
            <v>32842</v>
          </cell>
          <cell r="AA12" t="str">
            <v>#N/A N.A.</v>
          </cell>
          <cell r="AF12">
            <v>32842</v>
          </cell>
          <cell r="AG12" t="str">
            <v>#N/A N.A.</v>
          </cell>
          <cell r="AL12">
            <v>32842</v>
          </cell>
          <cell r="AM12" t="str">
            <v>#N/A N.A.</v>
          </cell>
          <cell r="BD12">
            <v>32842</v>
          </cell>
          <cell r="BE12" t="str">
            <v>#N/A N.A.</v>
          </cell>
        </row>
        <row r="13">
          <cell r="B13">
            <v>32871</v>
          </cell>
          <cell r="C13">
            <v>225</v>
          </cell>
          <cell r="F13">
            <v>32871</v>
          </cell>
          <cell r="G13">
            <v>215</v>
          </cell>
          <cell r="J13">
            <v>32871</v>
          </cell>
          <cell r="K13" t="str">
            <v>#N/A N.A.</v>
          </cell>
          <cell r="N13">
            <v>32871</v>
          </cell>
          <cell r="O13" t="str">
            <v>#N/A N.A.</v>
          </cell>
          <cell r="T13">
            <v>32871</v>
          </cell>
          <cell r="U13" t="str">
            <v>#N/A N.A.</v>
          </cell>
          <cell r="Z13">
            <v>32871</v>
          </cell>
          <cell r="AA13" t="str">
            <v>#N/A N.A.</v>
          </cell>
          <cell r="AF13">
            <v>32871</v>
          </cell>
          <cell r="AG13" t="str">
            <v>#N/A N.A.</v>
          </cell>
          <cell r="AL13">
            <v>32871</v>
          </cell>
          <cell r="AM13" t="str">
            <v>#N/A N.A.</v>
          </cell>
          <cell r="BD13">
            <v>32871</v>
          </cell>
          <cell r="BE13" t="str">
            <v>#N/A N.A.</v>
          </cell>
        </row>
        <row r="14">
          <cell r="B14">
            <v>32904</v>
          </cell>
          <cell r="C14">
            <v>221</v>
          </cell>
          <cell r="F14">
            <v>32904</v>
          </cell>
          <cell r="G14">
            <v>215</v>
          </cell>
          <cell r="J14">
            <v>32904</v>
          </cell>
          <cell r="K14" t="str">
            <v>#N/A N.A.</v>
          </cell>
          <cell r="N14">
            <v>32904</v>
          </cell>
          <cell r="O14" t="str">
            <v>#N/A N.A.</v>
          </cell>
          <cell r="T14">
            <v>32904</v>
          </cell>
          <cell r="U14" t="str">
            <v>#N/A N.A.</v>
          </cell>
          <cell r="Z14">
            <v>32904</v>
          </cell>
          <cell r="AA14" t="str">
            <v>#N/A N.A.</v>
          </cell>
          <cell r="AF14">
            <v>32904</v>
          </cell>
          <cell r="AG14" t="str">
            <v>#N/A N.A.</v>
          </cell>
          <cell r="AL14">
            <v>32904</v>
          </cell>
          <cell r="AM14" t="str">
            <v>#N/A N.A.</v>
          </cell>
          <cell r="BD14">
            <v>32904</v>
          </cell>
          <cell r="BE14" t="str">
            <v>#N/A N.A.</v>
          </cell>
        </row>
        <row r="15">
          <cell r="B15">
            <v>32932</v>
          </cell>
          <cell r="C15">
            <v>223</v>
          </cell>
          <cell r="F15">
            <v>32932</v>
          </cell>
          <cell r="G15">
            <v>215</v>
          </cell>
          <cell r="J15">
            <v>32932</v>
          </cell>
          <cell r="K15" t="str">
            <v>#N/A N.A.</v>
          </cell>
          <cell r="N15">
            <v>32932</v>
          </cell>
          <cell r="O15" t="str">
            <v>#N/A N.A.</v>
          </cell>
          <cell r="T15">
            <v>32932</v>
          </cell>
          <cell r="U15" t="str">
            <v>#N/A N.A.</v>
          </cell>
          <cell r="Z15">
            <v>32932</v>
          </cell>
          <cell r="AA15" t="str">
            <v>#N/A N.A.</v>
          </cell>
          <cell r="AF15">
            <v>32932</v>
          </cell>
          <cell r="AG15" t="str">
            <v>#N/A N.A.</v>
          </cell>
          <cell r="AL15">
            <v>32932</v>
          </cell>
          <cell r="AM15" t="str">
            <v>#N/A N.A.</v>
          </cell>
          <cell r="BD15">
            <v>32932</v>
          </cell>
          <cell r="BE15" t="str">
            <v>#N/A N.A.</v>
          </cell>
        </row>
        <row r="16">
          <cell r="B16">
            <v>32962</v>
          </cell>
          <cell r="C16">
            <v>235</v>
          </cell>
          <cell r="F16">
            <v>32962</v>
          </cell>
          <cell r="G16">
            <v>220</v>
          </cell>
          <cell r="J16">
            <v>32962</v>
          </cell>
          <cell r="K16" t="str">
            <v>#N/A N.A.</v>
          </cell>
          <cell r="N16">
            <v>32962</v>
          </cell>
          <cell r="O16" t="str">
            <v>#N/A N.A.</v>
          </cell>
          <cell r="T16">
            <v>32962</v>
          </cell>
          <cell r="U16" t="str">
            <v>#N/A N.A.</v>
          </cell>
          <cell r="Z16">
            <v>32962</v>
          </cell>
          <cell r="AA16" t="str">
            <v>#N/A N.A.</v>
          </cell>
          <cell r="AF16">
            <v>32962</v>
          </cell>
          <cell r="AG16" t="str">
            <v>#N/A N.A.</v>
          </cell>
          <cell r="AL16">
            <v>32962</v>
          </cell>
          <cell r="AM16" t="str">
            <v>#N/A N.A.</v>
          </cell>
          <cell r="BD16">
            <v>32962</v>
          </cell>
          <cell r="BE16" t="str">
            <v>#N/A N.A.</v>
          </cell>
        </row>
        <row r="17">
          <cell r="B17">
            <v>32993</v>
          </cell>
          <cell r="C17">
            <v>226.5</v>
          </cell>
          <cell r="F17">
            <v>32993</v>
          </cell>
          <cell r="G17">
            <v>205</v>
          </cell>
          <cell r="J17">
            <v>32993</v>
          </cell>
          <cell r="K17" t="str">
            <v>#N/A N.A.</v>
          </cell>
          <cell r="N17">
            <v>32993</v>
          </cell>
          <cell r="O17" t="str">
            <v>#N/A N.A.</v>
          </cell>
          <cell r="T17">
            <v>32993</v>
          </cell>
          <cell r="U17" t="str">
            <v>#N/A N.A.</v>
          </cell>
          <cell r="Z17">
            <v>32993</v>
          </cell>
          <cell r="AA17" t="str">
            <v>#N/A N.A.</v>
          </cell>
          <cell r="AF17">
            <v>32993</v>
          </cell>
          <cell r="AG17" t="str">
            <v>#N/A N.A.</v>
          </cell>
          <cell r="AL17">
            <v>32993</v>
          </cell>
          <cell r="AM17" t="str">
            <v>#N/A N.A.</v>
          </cell>
          <cell r="BD17">
            <v>32993</v>
          </cell>
          <cell r="BE17" t="str">
            <v>#N/A N.A.</v>
          </cell>
        </row>
        <row r="18">
          <cell r="B18">
            <v>33024</v>
          </cell>
          <cell r="C18">
            <v>225</v>
          </cell>
          <cell r="F18">
            <v>33024</v>
          </cell>
          <cell r="G18">
            <v>187.5</v>
          </cell>
          <cell r="J18">
            <v>33024</v>
          </cell>
          <cell r="K18" t="str">
            <v>#N/A N.A.</v>
          </cell>
          <cell r="N18">
            <v>33024</v>
          </cell>
          <cell r="O18" t="str">
            <v>#N/A N.A.</v>
          </cell>
          <cell r="T18">
            <v>33024</v>
          </cell>
          <cell r="U18" t="str">
            <v>#N/A N.A.</v>
          </cell>
          <cell r="Z18">
            <v>33024</v>
          </cell>
          <cell r="AA18" t="str">
            <v>#N/A N.A.</v>
          </cell>
          <cell r="AF18">
            <v>33024</v>
          </cell>
          <cell r="AG18" t="str">
            <v>#N/A N.A.</v>
          </cell>
          <cell r="AL18">
            <v>33024</v>
          </cell>
          <cell r="AM18" t="str">
            <v>#N/A N.A.</v>
          </cell>
          <cell r="BD18">
            <v>33024</v>
          </cell>
          <cell r="BE18" t="str">
            <v>#N/A N.A.</v>
          </cell>
        </row>
        <row r="19">
          <cell r="B19">
            <v>33053</v>
          </cell>
          <cell r="C19">
            <v>225</v>
          </cell>
          <cell r="F19">
            <v>33053</v>
          </cell>
          <cell r="G19">
            <v>210</v>
          </cell>
          <cell r="J19">
            <v>33053</v>
          </cell>
          <cell r="K19" t="str">
            <v>#N/A N.A.</v>
          </cell>
          <cell r="N19">
            <v>33053</v>
          </cell>
          <cell r="O19" t="str">
            <v>#N/A N.A.</v>
          </cell>
          <cell r="T19">
            <v>33053</v>
          </cell>
          <cell r="U19" t="str">
            <v>#N/A N.A.</v>
          </cell>
          <cell r="Z19">
            <v>33053</v>
          </cell>
          <cell r="AA19" t="str">
            <v>#N/A N.A.</v>
          </cell>
          <cell r="AF19">
            <v>33053</v>
          </cell>
          <cell r="AG19" t="str">
            <v>#N/A N.A.</v>
          </cell>
          <cell r="AL19">
            <v>33053</v>
          </cell>
          <cell r="AM19" t="str">
            <v>#N/A N.A.</v>
          </cell>
          <cell r="BD19">
            <v>33053</v>
          </cell>
          <cell r="BE19" t="str">
            <v>#N/A N.A.</v>
          </cell>
        </row>
        <row r="20">
          <cell r="B20">
            <v>33085</v>
          </cell>
          <cell r="C20">
            <v>227.5</v>
          </cell>
          <cell r="F20">
            <v>33085</v>
          </cell>
          <cell r="G20">
            <v>210</v>
          </cell>
          <cell r="J20">
            <v>33085</v>
          </cell>
          <cell r="K20" t="str">
            <v>#N/A N.A.</v>
          </cell>
          <cell r="N20">
            <v>33085</v>
          </cell>
          <cell r="O20" t="str">
            <v>#N/A N.A.</v>
          </cell>
          <cell r="T20">
            <v>33085</v>
          </cell>
          <cell r="U20" t="str">
            <v>#N/A N.A.</v>
          </cell>
          <cell r="Z20">
            <v>33085</v>
          </cell>
          <cell r="AA20" t="str">
            <v>#N/A N.A.</v>
          </cell>
          <cell r="AF20">
            <v>33085</v>
          </cell>
          <cell r="AG20" t="str">
            <v>#N/A N.A.</v>
          </cell>
          <cell r="AL20">
            <v>33085</v>
          </cell>
          <cell r="AM20" t="str">
            <v>#N/A N.A.</v>
          </cell>
          <cell r="BD20">
            <v>33085</v>
          </cell>
          <cell r="BE20" t="str">
            <v>#N/A N.A.</v>
          </cell>
        </row>
        <row r="21">
          <cell r="B21">
            <v>33116</v>
          </cell>
          <cell r="C21">
            <v>238.5</v>
          </cell>
          <cell r="F21">
            <v>33116</v>
          </cell>
          <cell r="G21">
            <v>210</v>
          </cell>
          <cell r="J21">
            <v>33116</v>
          </cell>
          <cell r="K21" t="str">
            <v>#N/A N.A.</v>
          </cell>
          <cell r="N21">
            <v>33116</v>
          </cell>
          <cell r="O21" t="str">
            <v>#N/A N.A.</v>
          </cell>
          <cell r="T21">
            <v>33116</v>
          </cell>
          <cell r="U21" t="str">
            <v>#N/A N.A.</v>
          </cell>
          <cell r="Z21">
            <v>33116</v>
          </cell>
          <cell r="AA21" t="str">
            <v>#N/A N.A.</v>
          </cell>
          <cell r="AF21">
            <v>33116</v>
          </cell>
          <cell r="AG21" t="str">
            <v>#N/A N.A.</v>
          </cell>
          <cell r="AL21">
            <v>33116</v>
          </cell>
          <cell r="AM21" t="str">
            <v>#N/A N.A.</v>
          </cell>
          <cell r="BD21">
            <v>33116</v>
          </cell>
          <cell r="BE21" t="str">
            <v>#N/A N.A.</v>
          </cell>
        </row>
        <row r="22">
          <cell r="B22">
            <v>33144</v>
          </cell>
          <cell r="C22">
            <v>240</v>
          </cell>
          <cell r="F22">
            <v>33144</v>
          </cell>
          <cell r="G22">
            <v>210</v>
          </cell>
          <cell r="J22">
            <v>33144</v>
          </cell>
          <cell r="K22" t="str">
            <v>#N/A N.A.</v>
          </cell>
          <cell r="N22">
            <v>33144</v>
          </cell>
          <cell r="O22" t="str">
            <v>#N/A N.A.</v>
          </cell>
          <cell r="T22">
            <v>33144</v>
          </cell>
          <cell r="U22" t="str">
            <v>#N/A N.A.</v>
          </cell>
          <cell r="Z22">
            <v>33144</v>
          </cell>
          <cell r="AA22" t="str">
            <v>#N/A N.A.</v>
          </cell>
          <cell r="AF22">
            <v>33144</v>
          </cell>
          <cell r="AG22" t="str">
            <v>#N/A N.A.</v>
          </cell>
          <cell r="AL22">
            <v>33144</v>
          </cell>
          <cell r="AM22" t="str">
            <v>#N/A N.A.</v>
          </cell>
          <cell r="BD22">
            <v>33144</v>
          </cell>
          <cell r="BE22" t="str">
            <v>#N/A N.A.</v>
          </cell>
        </row>
        <row r="23">
          <cell r="B23">
            <v>33177</v>
          </cell>
          <cell r="C23">
            <v>230</v>
          </cell>
          <cell r="F23">
            <v>33177</v>
          </cell>
          <cell r="G23">
            <v>205</v>
          </cell>
          <cell r="J23">
            <v>33177</v>
          </cell>
          <cell r="K23" t="str">
            <v>#N/A N.A.</v>
          </cell>
          <cell r="N23">
            <v>33177</v>
          </cell>
          <cell r="O23" t="str">
            <v>#N/A N.A.</v>
          </cell>
          <cell r="T23">
            <v>33177</v>
          </cell>
          <cell r="U23" t="str">
            <v>#N/A N.A.</v>
          </cell>
          <cell r="Z23">
            <v>33177</v>
          </cell>
          <cell r="AA23" t="str">
            <v>#N/A N.A.</v>
          </cell>
          <cell r="AF23">
            <v>33177</v>
          </cell>
          <cell r="AG23" t="str">
            <v>#N/A N.A.</v>
          </cell>
          <cell r="AL23">
            <v>33177</v>
          </cell>
          <cell r="AM23" t="str">
            <v>#N/A N.A.</v>
          </cell>
          <cell r="BD23">
            <v>33177</v>
          </cell>
          <cell r="BE23" t="str">
            <v>#N/A N.A.</v>
          </cell>
        </row>
        <row r="24">
          <cell r="B24">
            <v>33207</v>
          </cell>
          <cell r="C24">
            <v>230</v>
          </cell>
          <cell r="F24">
            <v>33207</v>
          </cell>
          <cell r="G24">
            <v>228</v>
          </cell>
          <cell r="J24">
            <v>33207</v>
          </cell>
          <cell r="K24" t="str">
            <v>#N/A N.A.</v>
          </cell>
          <cell r="N24">
            <v>33207</v>
          </cell>
          <cell r="O24" t="str">
            <v>#N/A N.A.</v>
          </cell>
          <cell r="T24">
            <v>33207</v>
          </cell>
          <cell r="U24" t="str">
            <v>#N/A N.A.</v>
          </cell>
          <cell r="Z24">
            <v>33207</v>
          </cell>
          <cell r="AA24" t="str">
            <v>#N/A N.A.</v>
          </cell>
          <cell r="AF24">
            <v>33207</v>
          </cell>
          <cell r="AG24" t="str">
            <v>#N/A N.A.</v>
          </cell>
          <cell r="AL24">
            <v>33207</v>
          </cell>
          <cell r="AM24" t="str">
            <v>#N/A N.A.</v>
          </cell>
          <cell r="BD24">
            <v>33207</v>
          </cell>
          <cell r="BE24" t="str">
            <v>#N/A N.A.</v>
          </cell>
        </row>
        <row r="25">
          <cell r="B25">
            <v>33238</v>
          </cell>
          <cell r="C25">
            <v>225</v>
          </cell>
          <cell r="F25">
            <v>33238</v>
          </cell>
          <cell r="G25">
            <v>222.5</v>
          </cell>
          <cell r="J25">
            <v>33238</v>
          </cell>
          <cell r="K25" t="str">
            <v>#N/A N.A.</v>
          </cell>
          <cell r="N25">
            <v>33238</v>
          </cell>
          <cell r="O25" t="str">
            <v>#N/A N.A.</v>
          </cell>
          <cell r="T25">
            <v>33238</v>
          </cell>
          <cell r="U25" t="str">
            <v>#N/A N.A.</v>
          </cell>
          <cell r="Z25">
            <v>33238</v>
          </cell>
          <cell r="AA25" t="str">
            <v>#N/A N.A.</v>
          </cell>
          <cell r="AF25">
            <v>33238</v>
          </cell>
          <cell r="AG25" t="str">
            <v>#N/A N.A.</v>
          </cell>
          <cell r="AL25">
            <v>33238</v>
          </cell>
          <cell r="AM25" t="str">
            <v>#N/A N.A.</v>
          </cell>
          <cell r="BD25">
            <v>33238</v>
          </cell>
          <cell r="BE25" t="str">
            <v>#N/A N.A.</v>
          </cell>
        </row>
        <row r="26">
          <cell r="B26">
            <v>33269</v>
          </cell>
          <cell r="C26">
            <v>225</v>
          </cell>
          <cell r="F26">
            <v>33269</v>
          </cell>
          <cell r="G26">
            <v>222.5</v>
          </cell>
          <cell r="J26">
            <v>33269</v>
          </cell>
          <cell r="K26" t="str">
            <v>#N/A N.A.</v>
          </cell>
          <cell r="N26">
            <v>33269</v>
          </cell>
          <cell r="O26" t="str">
            <v>#N/A N.A.</v>
          </cell>
          <cell r="T26">
            <v>33269</v>
          </cell>
          <cell r="U26" t="str">
            <v>#N/A N.A.</v>
          </cell>
          <cell r="Z26">
            <v>33269</v>
          </cell>
          <cell r="AA26" t="str">
            <v>#N/A N.A.</v>
          </cell>
          <cell r="AF26">
            <v>33269</v>
          </cell>
          <cell r="AG26" t="str">
            <v>#N/A N.A.</v>
          </cell>
          <cell r="AL26">
            <v>33269</v>
          </cell>
          <cell r="AM26" t="str">
            <v>#N/A N.A.</v>
          </cell>
          <cell r="BD26">
            <v>33269</v>
          </cell>
          <cell r="BE26" t="str">
            <v>#N/A N.A.</v>
          </cell>
        </row>
        <row r="27">
          <cell r="B27">
            <v>33297</v>
          </cell>
          <cell r="C27">
            <v>225</v>
          </cell>
          <cell r="F27">
            <v>33297</v>
          </cell>
          <cell r="G27">
            <v>222.5</v>
          </cell>
          <cell r="J27">
            <v>33297</v>
          </cell>
          <cell r="K27" t="str">
            <v>#N/A N.A.</v>
          </cell>
          <cell r="N27">
            <v>33297</v>
          </cell>
          <cell r="O27" t="str">
            <v>#N/A N.A.</v>
          </cell>
          <cell r="T27">
            <v>33297</v>
          </cell>
          <cell r="U27" t="str">
            <v>#N/A N.A.</v>
          </cell>
          <cell r="Z27">
            <v>33297</v>
          </cell>
          <cell r="AA27" t="str">
            <v>#N/A N.A.</v>
          </cell>
          <cell r="AF27">
            <v>33297</v>
          </cell>
          <cell r="AG27" t="str">
            <v>#N/A N.A.</v>
          </cell>
          <cell r="AL27">
            <v>33297</v>
          </cell>
          <cell r="AM27" t="str">
            <v>#N/A N.A.</v>
          </cell>
          <cell r="BD27">
            <v>33297</v>
          </cell>
          <cell r="BE27" t="str">
            <v>#N/A N.A.</v>
          </cell>
        </row>
        <row r="28">
          <cell r="B28">
            <v>33326</v>
          </cell>
          <cell r="C28">
            <v>232.5</v>
          </cell>
          <cell r="F28">
            <v>33326</v>
          </cell>
          <cell r="G28">
            <v>222.5</v>
          </cell>
          <cell r="J28">
            <v>33326</v>
          </cell>
          <cell r="K28" t="str">
            <v>#N/A N.A.</v>
          </cell>
          <cell r="N28">
            <v>33326</v>
          </cell>
          <cell r="O28" t="str">
            <v>#N/A N.A.</v>
          </cell>
          <cell r="T28">
            <v>33326</v>
          </cell>
          <cell r="U28" t="str">
            <v>#N/A N.A.</v>
          </cell>
          <cell r="Z28">
            <v>33326</v>
          </cell>
          <cell r="AA28" t="str">
            <v>#N/A N.A.</v>
          </cell>
          <cell r="AF28">
            <v>33326</v>
          </cell>
          <cell r="AG28" t="str">
            <v>#N/A N.A.</v>
          </cell>
          <cell r="AL28">
            <v>33326</v>
          </cell>
          <cell r="AM28" t="str">
            <v>#N/A N.A.</v>
          </cell>
          <cell r="BD28">
            <v>33326</v>
          </cell>
          <cell r="BE28" t="str">
            <v>#N/A N.A.</v>
          </cell>
        </row>
        <row r="29">
          <cell r="B29">
            <v>33358</v>
          </cell>
          <cell r="C29">
            <v>227.5</v>
          </cell>
          <cell r="F29">
            <v>33358</v>
          </cell>
          <cell r="G29">
            <v>222.5</v>
          </cell>
          <cell r="J29">
            <v>33358</v>
          </cell>
          <cell r="K29" t="str">
            <v>#N/A N.A.</v>
          </cell>
          <cell r="N29">
            <v>33358</v>
          </cell>
          <cell r="O29" t="str">
            <v>#N/A N.A.</v>
          </cell>
          <cell r="T29">
            <v>33358</v>
          </cell>
          <cell r="U29" t="str">
            <v>#N/A N.A.</v>
          </cell>
          <cell r="Z29">
            <v>33358</v>
          </cell>
          <cell r="AA29" t="str">
            <v>#N/A N.A.</v>
          </cell>
          <cell r="AF29">
            <v>33358</v>
          </cell>
          <cell r="AG29" t="str">
            <v>#N/A N.A.</v>
          </cell>
          <cell r="AL29">
            <v>33358</v>
          </cell>
          <cell r="AM29" t="str">
            <v>#N/A N.A.</v>
          </cell>
          <cell r="BD29">
            <v>33358</v>
          </cell>
          <cell r="BE29" t="str">
            <v>#N/A N.A.</v>
          </cell>
        </row>
        <row r="30">
          <cell r="B30">
            <v>33389</v>
          </cell>
          <cell r="C30">
            <v>225</v>
          </cell>
          <cell r="F30">
            <v>33389</v>
          </cell>
          <cell r="G30">
            <v>210</v>
          </cell>
          <cell r="J30">
            <v>33389</v>
          </cell>
          <cell r="K30" t="str">
            <v>#N/A N.A.</v>
          </cell>
          <cell r="N30">
            <v>33389</v>
          </cell>
          <cell r="O30" t="str">
            <v>#N/A N.A.</v>
          </cell>
          <cell r="T30">
            <v>33389</v>
          </cell>
          <cell r="U30" t="str">
            <v>#N/A N.A.</v>
          </cell>
          <cell r="Z30">
            <v>33389</v>
          </cell>
          <cell r="AA30">
            <v>347.5</v>
          </cell>
          <cell r="AF30">
            <v>33389</v>
          </cell>
          <cell r="AG30" t="str">
            <v>#N/A N.A.</v>
          </cell>
          <cell r="AL30">
            <v>33389</v>
          </cell>
          <cell r="AM30" t="str">
            <v>#N/A N.A.</v>
          </cell>
          <cell r="BD30">
            <v>33389</v>
          </cell>
          <cell r="BE30" t="str">
            <v>#N/A N.A.</v>
          </cell>
        </row>
        <row r="31">
          <cell r="B31">
            <v>33417</v>
          </cell>
          <cell r="C31">
            <v>225</v>
          </cell>
          <cell r="F31">
            <v>33417</v>
          </cell>
          <cell r="G31">
            <v>210</v>
          </cell>
          <cell r="J31">
            <v>33417</v>
          </cell>
          <cell r="K31" t="str">
            <v>#N/A N.A.</v>
          </cell>
          <cell r="N31">
            <v>33417</v>
          </cell>
          <cell r="O31" t="str">
            <v>#N/A N.A.</v>
          </cell>
          <cell r="T31">
            <v>33417</v>
          </cell>
          <cell r="U31" t="str">
            <v>#N/A N.A.</v>
          </cell>
          <cell r="Z31">
            <v>33417</v>
          </cell>
          <cell r="AA31">
            <v>342.5</v>
          </cell>
          <cell r="AF31">
            <v>33417</v>
          </cell>
          <cell r="AG31" t="str">
            <v>#N/A N.A.</v>
          </cell>
          <cell r="AL31">
            <v>33417</v>
          </cell>
          <cell r="AM31" t="str">
            <v>#N/A N.A.</v>
          </cell>
          <cell r="BD31">
            <v>33417</v>
          </cell>
          <cell r="BE31" t="str">
            <v>#N/A N.A.</v>
          </cell>
        </row>
        <row r="32">
          <cell r="B32">
            <v>33450</v>
          </cell>
          <cell r="C32">
            <v>222.5</v>
          </cell>
          <cell r="F32">
            <v>33450</v>
          </cell>
          <cell r="G32">
            <v>210</v>
          </cell>
          <cell r="J32">
            <v>33450</v>
          </cell>
          <cell r="K32" t="str">
            <v>#N/A N.A.</v>
          </cell>
          <cell r="N32">
            <v>33450</v>
          </cell>
          <cell r="O32" t="str">
            <v>#N/A N.A.</v>
          </cell>
          <cell r="T32">
            <v>33450</v>
          </cell>
          <cell r="U32" t="str">
            <v>#N/A N.A.</v>
          </cell>
          <cell r="Z32">
            <v>33450</v>
          </cell>
          <cell r="AA32">
            <v>332.5</v>
          </cell>
          <cell r="AF32">
            <v>33450</v>
          </cell>
          <cell r="AG32" t="str">
            <v>#N/A N.A.</v>
          </cell>
          <cell r="AL32">
            <v>33450</v>
          </cell>
          <cell r="AM32" t="str">
            <v>#N/A N.A.</v>
          </cell>
          <cell r="BD32">
            <v>33450</v>
          </cell>
          <cell r="BE32" t="str">
            <v>#N/A N.A.</v>
          </cell>
        </row>
        <row r="33">
          <cell r="B33">
            <v>33480</v>
          </cell>
          <cell r="C33">
            <v>222.5</v>
          </cell>
          <cell r="F33">
            <v>33480</v>
          </cell>
          <cell r="G33">
            <v>210</v>
          </cell>
          <cell r="J33">
            <v>33480</v>
          </cell>
          <cell r="K33" t="str">
            <v>#N/A N.A.</v>
          </cell>
          <cell r="N33">
            <v>33480</v>
          </cell>
          <cell r="O33" t="str">
            <v>#N/A N.A.</v>
          </cell>
          <cell r="T33">
            <v>33480</v>
          </cell>
          <cell r="U33" t="str">
            <v>#N/A N.A.</v>
          </cell>
          <cell r="Z33">
            <v>33480</v>
          </cell>
          <cell r="AA33">
            <v>312.5</v>
          </cell>
          <cell r="AF33">
            <v>33480</v>
          </cell>
          <cell r="AG33" t="str">
            <v>#N/A N.A.</v>
          </cell>
          <cell r="AL33">
            <v>33480</v>
          </cell>
          <cell r="AM33" t="str">
            <v>#N/A N.A.</v>
          </cell>
          <cell r="BD33">
            <v>33480</v>
          </cell>
          <cell r="BE33" t="str">
            <v>#N/A N.A.</v>
          </cell>
        </row>
        <row r="34">
          <cell r="B34">
            <v>33511</v>
          </cell>
          <cell r="C34">
            <v>220</v>
          </cell>
          <cell r="F34">
            <v>33511</v>
          </cell>
          <cell r="G34">
            <v>210</v>
          </cell>
          <cell r="J34">
            <v>33511</v>
          </cell>
          <cell r="K34" t="str">
            <v>#N/A N.A.</v>
          </cell>
          <cell r="N34">
            <v>33511</v>
          </cell>
          <cell r="O34" t="str">
            <v>#N/A N.A.</v>
          </cell>
          <cell r="T34">
            <v>33511</v>
          </cell>
          <cell r="U34" t="str">
            <v>#N/A N.A.</v>
          </cell>
          <cell r="Z34">
            <v>33511</v>
          </cell>
          <cell r="AA34">
            <v>312.5</v>
          </cell>
          <cell r="AF34">
            <v>33511</v>
          </cell>
          <cell r="AG34" t="str">
            <v>#N/A N.A.</v>
          </cell>
          <cell r="AL34">
            <v>33511</v>
          </cell>
          <cell r="AM34" t="str">
            <v>#N/A N.A.</v>
          </cell>
          <cell r="BD34">
            <v>33511</v>
          </cell>
          <cell r="BE34" t="str">
            <v>#N/A N.A.</v>
          </cell>
        </row>
        <row r="35">
          <cell r="B35">
            <v>33542</v>
          </cell>
          <cell r="C35">
            <v>202.5</v>
          </cell>
          <cell r="F35">
            <v>33542</v>
          </cell>
          <cell r="G35">
            <v>210</v>
          </cell>
          <cell r="J35">
            <v>33542</v>
          </cell>
          <cell r="K35" t="str">
            <v>#N/A N.A.</v>
          </cell>
          <cell r="N35">
            <v>33542</v>
          </cell>
          <cell r="O35" t="str">
            <v>#N/A N.A.</v>
          </cell>
          <cell r="T35">
            <v>33542</v>
          </cell>
          <cell r="U35" t="str">
            <v>#N/A N.A.</v>
          </cell>
          <cell r="Z35">
            <v>33542</v>
          </cell>
          <cell r="AA35">
            <v>310</v>
          </cell>
          <cell r="AF35">
            <v>33542</v>
          </cell>
          <cell r="AG35" t="str">
            <v>#N/A N.A.</v>
          </cell>
          <cell r="AL35">
            <v>33542</v>
          </cell>
          <cell r="AM35" t="str">
            <v>#N/A N.A.</v>
          </cell>
          <cell r="BD35">
            <v>33542</v>
          </cell>
          <cell r="BE35" t="str">
            <v>#N/A N.A.</v>
          </cell>
        </row>
        <row r="36">
          <cell r="B36">
            <v>33571</v>
          </cell>
          <cell r="C36">
            <v>202.5</v>
          </cell>
          <cell r="F36">
            <v>33571</v>
          </cell>
          <cell r="G36">
            <v>200</v>
          </cell>
          <cell r="J36">
            <v>33571</v>
          </cell>
          <cell r="K36" t="str">
            <v>#N/A N.A.</v>
          </cell>
          <cell r="N36">
            <v>33571</v>
          </cell>
          <cell r="O36" t="str">
            <v>#N/A N.A.</v>
          </cell>
          <cell r="T36">
            <v>33571</v>
          </cell>
          <cell r="U36" t="str">
            <v>#N/A N.A.</v>
          </cell>
          <cell r="Z36">
            <v>33571</v>
          </cell>
          <cell r="AA36">
            <v>300</v>
          </cell>
          <cell r="AF36">
            <v>33571</v>
          </cell>
          <cell r="AG36" t="str">
            <v>#N/A N.A.</v>
          </cell>
          <cell r="AL36">
            <v>33571</v>
          </cell>
          <cell r="AM36" t="str">
            <v>#N/A N.A.</v>
          </cell>
          <cell r="BD36">
            <v>33571</v>
          </cell>
          <cell r="BE36" t="str">
            <v>#N/A N.A.</v>
          </cell>
        </row>
        <row r="37">
          <cell r="B37">
            <v>33603</v>
          </cell>
          <cell r="C37">
            <v>198</v>
          </cell>
          <cell r="F37">
            <v>33603</v>
          </cell>
          <cell r="G37">
            <v>195</v>
          </cell>
          <cell r="J37">
            <v>33603</v>
          </cell>
          <cell r="K37" t="str">
            <v>#N/A N.A.</v>
          </cell>
          <cell r="N37">
            <v>33603</v>
          </cell>
          <cell r="O37" t="str">
            <v>#N/A N.A.</v>
          </cell>
          <cell r="T37">
            <v>33603</v>
          </cell>
          <cell r="U37" t="str">
            <v>#N/A N.A.</v>
          </cell>
          <cell r="Z37">
            <v>33603</v>
          </cell>
          <cell r="AA37">
            <v>310</v>
          </cell>
          <cell r="AF37">
            <v>33603</v>
          </cell>
          <cell r="AG37" t="str">
            <v>#N/A N.A.</v>
          </cell>
          <cell r="AL37">
            <v>33603</v>
          </cell>
          <cell r="AM37" t="str">
            <v>#N/A N.A.</v>
          </cell>
          <cell r="BD37">
            <v>33603</v>
          </cell>
          <cell r="BE37" t="str">
            <v>#N/A N.A.</v>
          </cell>
        </row>
        <row r="38">
          <cell r="B38">
            <v>33634</v>
          </cell>
          <cell r="C38">
            <v>205</v>
          </cell>
          <cell r="F38">
            <v>33634</v>
          </cell>
          <cell r="G38">
            <v>200</v>
          </cell>
          <cell r="J38">
            <v>33634</v>
          </cell>
          <cell r="K38" t="str">
            <v>#N/A N.A.</v>
          </cell>
          <cell r="N38">
            <v>33634</v>
          </cell>
          <cell r="O38" t="str">
            <v>#N/A N.A.</v>
          </cell>
          <cell r="T38">
            <v>33634</v>
          </cell>
          <cell r="U38" t="str">
            <v>#N/A N.A.</v>
          </cell>
          <cell r="Z38">
            <v>33634</v>
          </cell>
          <cell r="AA38">
            <v>310</v>
          </cell>
          <cell r="AF38">
            <v>33634</v>
          </cell>
          <cell r="AG38" t="str">
            <v>#N/A N.A.</v>
          </cell>
          <cell r="AL38">
            <v>33634</v>
          </cell>
          <cell r="AM38" t="str">
            <v>#N/A N.A.</v>
          </cell>
          <cell r="BD38">
            <v>33634</v>
          </cell>
          <cell r="BE38" t="str">
            <v>#N/A N.A.</v>
          </cell>
        </row>
        <row r="39">
          <cell r="B39">
            <v>33662</v>
          </cell>
          <cell r="C39">
            <v>205</v>
          </cell>
          <cell r="F39">
            <v>33662</v>
          </cell>
          <cell r="G39">
            <v>200</v>
          </cell>
          <cell r="J39">
            <v>33662</v>
          </cell>
          <cell r="K39" t="str">
            <v>#N/A N.A.</v>
          </cell>
          <cell r="N39">
            <v>33662</v>
          </cell>
          <cell r="O39" t="str">
            <v>#N/A N.A.</v>
          </cell>
          <cell r="T39">
            <v>33662</v>
          </cell>
          <cell r="U39" t="str">
            <v>#N/A N.A.</v>
          </cell>
          <cell r="Z39">
            <v>33662</v>
          </cell>
          <cell r="AA39">
            <v>310</v>
          </cell>
          <cell r="AF39">
            <v>33662</v>
          </cell>
          <cell r="AG39" t="str">
            <v>#N/A N.A.</v>
          </cell>
          <cell r="AL39">
            <v>33662</v>
          </cell>
          <cell r="AM39" t="str">
            <v>#N/A N.A.</v>
          </cell>
          <cell r="BD39">
            <v>33662</v>
          </cell>
          <cell r="BE39" t="str">
            <v>#N/A N.A.</v>
          </cell>
        </row>
        <row r="40">
          <cell r="B40">
            <v>33694</v>
          </cell>
          <cell r="C40">
            <v>208.5</v>
          </cell>
          <cell r="F40">
            <v>33694</v>
          </cell>
          <cell r="G40">
            <v>200</v>
          </cell>
          <cell r="J40">
            <v>33694</v>
          </cell>
          <cell r="K40" t="str">
            <v>#N/A N.A.</v>
          </cell>
          <cell r="N40">
            <v>33694</v>
          </cell>
          <cell r="O40" t="str">
            <v>#N/A N.A.</v>
          </cell>
          <cell r="T40">
            <v>33694</v>
          </cell>
          <cell r="U40" t="str">
            <v>#N/A N.A.</v>
          </cell>
          <cell r="Z40">
            <v>33694</v>
          </cell>
          <cell r="AA40">
            <v>305</v>
          </cell>
          <cell r="AF40">
            <v>33694</v>
          </cell>
          <cell r="AG40" t="str">
            <v>#N/A N.A.</v>
          </cell>
          <cell r="AL40">
            <v>33694</v>
          </cell>
          <cell r="AM40" t="str">
            <v>#N/A N.A.</v>
          </cell>
          <cell r="BD40">
            <v>33694</v>
          </cell>
          <cell r="BE40" t="str">
            <v>#N/A N.A.</v>
          </cell>
        </row>
        <row r="41">
          <cell r="B41">
            <v>33724</v>
          </cell>
          <cell r="C41">
            <v>211</v>
          </cell>
          <cell r="F41">
            <v>33724</v>
          </cell>
          <cell r="G41">
            <v>192.5</v>
          </cell>
          <cell r="J41">
            <v>33724</v>
          </cell>
          <cell r="K41" t="str">
            <v>#N/A N.A.</v>
          </cell>
          <cell r="N41">
            <v>33724</v>
          </cell>
          <cell r="O41" t="str">
            <v>#N/A N.A.</v>
          </cell>
          <cell r="T41">
            <v>33724</v>
          </cell>
          <cell r="U41" t="str">
            <v>#N/A N.A.</v>
          </cell>
          <cell r="Z41">
            <v>33724</v>
          </cell>
          <cell r="AA41">
            <v>305</v>
          </cell>
          <cell r="AF41">
            <v>33724</v>
          </cell>
          <cell r="AG41" t="str">
            <v>#N/A N.A.</v>
          </cell>
          <cell r="AL41">
            <v>33724</v>
          </cell>
          <cell r="AM41" t="str">
            <v>#N/A N.A.</v>
          </cell>
          <cell r="BD41">
            <v>33724</v>
          </cell>
          <cell r="BE41" t="str">
            <v>#N/A N.A.</v>
          </cell>
        </row>
        <row r="42">
          <cell r="B42">
            <v>33753</v>
          </cell>
          <cell r="C42">
            <v>208.5</v>
          </cell>
          <cell r="F42">
            <v>33753</v>
          </cell>
          <cell r="G42">
            <v>187.5</v>
          </cell>
          <cell r="J42">
            <v>33753</v>
          </cell>
          <cell r="K42" t="str">
            <v>#N/A N.A.</v>
          </cell>
          <cell r="N42">
            <v>33753</v>
          </cell>
          <cell r="O42" t="str">
            <v>#N/A N.A.</v>
          </cell>
          <cell r="T42">
            <v>33753</v>
          </cell>
          <cell r="U42" t="str">
            <v>#N/A N.A.</v>
          </cell>
          <cell r="Z42">
            <v>33753</v>
          </cell>
          <cell r="AA42">
            <v>305</v>
          </cell>
          <cell r="AF42">
            <v>33753</v>
          </cell>
          <cell r="AG42" t="str">
            <v>#N/A N.A.</v>
          </cell>
          <cell r="AL42">
            <v>33753</v>
          </cell>
          <cell r="AM42" t="str">
            <v>#N/A N.A.</v>
          </cell>
          <cell r="BD42">
            <v>33753</v>
          </cell>
          <cell r="BE42" t="str">
            <v>#N/A N.A.</v>
          </cell>
        </row>
        <row r="43">
          <cell r="B43">
            <v>33785</v>
          </cell>
          <cell r="C43">
            <v>205</v>
          </cell>
          <cell r="F43">
            <v>33785</v>
          </cell>
          <cell r="G43">
            <v>185</v>
          </cell>
          <cell r="J43">
            <v>33785</v>
          </cell>
          <cell r="K43" t="str">
            <v>#N/A N.A.</v>
          </cell>
          <cell r="N43">
            <v>33785</v>
          </cell>
          <cell r="O43" t="str">
            <v>#N/A N.A.</v>
          </cell>
          <cell r="T43">
            <v>33785</v>
          </cell>
          <cell r="U43" t="str">
            <v>#N/A N.A.</v>
          </cell>
          <cell r="Z43">
            <v>33785</v>
          </cell>
          <cell r="AA43">
            <v>290</v>
          </cell>
          <cell r="AF43">
            <v>33785</v>
          </cell>
          <cell r="AG43" t="str">
            <v>#N/A N.A.</v>
          </cell>
          <cell r="AL43">
            <v>33785</v>
          </cell>
          <cell r="AM43" t="str">
            <v>#N/A N.A.</v>
          </cell>
          <cell r="BD43">
            <v>33785</v>
          </cell>
          <cell r="BE43" t="str">
            <v>#N/A N.A.</v>
          </cell>
        </row>
        <row r="44">
          <cell r="B44">
            <v>33816</v>
          </cell>
          <cell r="C44">
            <v>185</v>
          </cell>
          <cell r="F44">
            <v>33816</v>
          </cell>
          <cell r="G44">
            <v>165</v>
          </cell>
          <cell r="J44">
            <v>33816</v>
          </cell>
          <cell r="K44" t="str">
            <v>#N/A N.A.</v>
          </cell>
          <cell r="N44">
            <v>33816</v>
          </cell>
          <cell r="O44" t="str">
            <v>#N/A N.A.</v>
          </cell>
          <cell r="T44">
            <v>33816</v>
          </cell>
          <cell r="U44" t="str">
            <v>#N/A N.A.</v>
          </cell>
          <cell r="Z44">
            <v>33816</v>
          </cell>
          <cell r="AA44">
            <v>290</v>
          </cell>
          <cell r="AF44">
            <v>33816</v>
          </cell>
          <cell r="AG44" t="str">
            <v>#N/A N.A.</v>
          </cell>
          <cell r="AL44">
            <v>33816</v>
          </cell>
          <cell r="AM44" t="str">
            <v>#N/A N.A.</v>
          </cell>
          <cell r="BD44">
            <v>33816</v>
          </cell>
          <cell r="BE44" t="str">
            <v>#N/A N.A.</v>
          </cell>
        </row>
        <row r="45">
          <cell r="B45">
            <v>33847</v>
          </cell>
          <cell r="C45">
            <v>202.5</v>
          </cell>
          <cell r="F45">
            <v>33847</v>
          </cell>
          <cell r="G45">
            <v>165</v>
          </cell>
          <cell r="J45">
            <v>33847</v>
          </cell>
          <cell r="K45" t="str">
            <v>#N/A N.A.</v>
          </cell>
          <cell r="N45">
            <v>33847</v>
          </cell>
          <cell r="O45" t="str">
            <v>#N/A N.A.</v>
          </cell>
          <cell r="T45">
            <v>33847</v>
          </cell>
          <cell r="U45" t="str">
            <v>#N/A N.A.</v>
          </cell>
          <cell r="Z45">
            <v>33847</v>
          </cell>
          <cell r="AA45">
            <v>290</v>
          </cell>
          <cell r="AF45">
            <v>33847</v>
          </cell>
          <cell r="AG45" t="str">
            <v>#N/A N.A.</v>
          </cell>
          <cell r="AL45">
            <v>33847</v>
          </cell>
          <cell r="AM45" t="str">
            <v>#N/A N.A.</v>
          </cell>
          <cell r="BD45">
            <v>33847</v>
          </cell>
          <cell r="BE45" t="str">
            <v>#N/A N.A.</v>
          </cell>
        </row>
        <row r="46">
          <cell r="B46">
            <v>33877</v>
          </cell>
          <cell r="C46">
            <v>202.5</v>
          </cell>
          <cell r="F46">
            <v>33877</v>
          </cell>
          <cell r="G46">
            <v>165</v>
          </cell>
          <cell r="J46">
            <v>33877</v>
          </cell>
          <cell r="K46" t="str">
            <v>#N/A N.A.</v>
          </cell>
          <cell r="N46">
            <v>33877</v>
          </cell>
          <cell r="O46" t="str">
            <v>#N/A N.A.</v>
          </cell>
          <cell r="T46">
            <v>33877</v>
          </cell>
          <cell r="U46" t="str">
            <v>#N/A N.A.</v>
          </cell>
          <cell r="Z46">
            <v>33877</v>
          </cell>
          <cell r="AA46">
            <v>290</v>
          </cell>
          <cell r="AF46">
            <v>33877</v>
          </cell>
          <cell r="AG46" t="str">
            <v>#N/A N.A.</v>
          </cell>
          <cell r="AL46">
            <v>33877</v>
          </cell>
          <cell r="AM46" t="str">
            <v>#N/A N.A.</v>
          </cell>
          <cell r="BD46">
            <v>33877</v>
          </cell>
          <cell r="BE46" t="str">
            <v>#N/A N.A.</v>
          </cell>
        </row>
        <row r="47">
          <cell r="B47">
            <v>33907</v>
          </cell>
          <cell r="C47">
            <v>210</v>
          </cell>
          <cell r="F47">
            <v>33907</v>
          </cell>
          <cell r="G47">
            <v>165</v>
          </cell>
          <cell r="J47">
            <v>33907</v>
          </cell>
          <cell r="K47" t="str">
            <v>#N/A N.A.</v>
          </cell>
          <cell r="N47">
            <v>33907</v>
          </cell>
          <cell r="O47" t="str">
            <v>#N/A N.A.</v>
          </cell>
          <cell r="T47">
            <v>33907</v>
          </cell>
          <cell r="U47" t="str">
            <v>#N/A N.A.</v>
          </cell>
          <cell r="Z47">
            <v>33907</v>
          </cell>
          <cell r="AA47">
            <v>290</v>
          </cell>
          <cell r="AF47">
            <v>33907</v>
          </cell>
          <cell r="AG47" t="str">
            <v>#N/A N.A.</v>
          </cell>
          <cell r="AL47">
            <v>33907</v>
          </cell>
          <cell r="AM47" t="str">
            <v>#N/A N.A.</v>
          </cell>
          <cell r="BD47">
            <v>33907</v>
          </cell>
          <cell r="BE47" t="str">
            <v>#N/A N.A.</v>
          </cell>
        </row>
        <row r="48">
          <cell r="B48">
            <v>33938</v>
          </cell>
          <cell r="C48">
            <v>220</v>
          </cell>
          <cell r="F48">
            <v>33938</v>
          </cell>
          <cell r="G48">
            <v>171</v>
          </cell>
          <cell r="J48">
            <v>33938</v>
          </cell>
          <cell r="K48" t="str">
            <v>#N/A N.A.</v>
          </cell>
          <cell r="N48">
            <v>33938</v>
          </cell>
          <cell r="O48" t="str">
            <v>#N/A N.A.</v>
          </cell>
          <cell r="T48">
            <v>33938</v>
          </cell>
          <cell r="U48" t="str">
            <v>#N/A N.A.</v>
          </cell>
          <cell r="Z48">
            <v>33938</v>
          </cell>
          <cell r="AA48">
            <v>290</v>
          </cell>
          <cell r="AF48">
            <v>33938</v>
          </cell>
          <cell r="AG48" t="str">
            <v>#N/A N.A.</v>
          </cell>
          <cell r="AL48">
            <v>33938</v>
          </cell>
          <cell r="AM48" t="str">
            <v>#N/A N.A.</v>
          </cell>
          <cell r="BD48">
            <v>33938</v>
          </cell>
          <cell r="BE48" t="str">
            <v>#N/A N.A.</v>
          </cell>
        </row>
        <row r="49">
          <cell r="B49">
            <v>33969</v>
          </cell>
          <cell r="C49">
            <v>221.5</v>
          </cell>
          <cell r="F49">
            <v>33969</v>
          </cell>
          <cell r="G49">
            <v>171</v>
          </cell>
          <cell r="J49">
            <v>33969</v>
          </cell>
          <cell r="K49" t="str">
            <v>#N/A N.A.</v>
          </cell>
          <cell r="N49">
            <v>33969</v>
          </cell>
          <cell r="O49" t="str">
            <v>#N/A N.A.</v>
          </cell>
          <cell r="T49">
            <v>33969</v>
          </cell>
          <cell r="U49" t="str">
            <v>#N/A N.A.</v>
          </cell>
          <cell r="Z49">
            <v>33969</v>
          </cell>
          <cell r="AA49">
            <v>290</v>
          </cell>
          <cell r="AF49">
            <v>33969</v>
          </cell>
          <cell r="AG49" t="str">
            <v>#N/A N.A.</v>
          </cell>
          <cell r="AL49">
            <v>33969</v>
          </cell>
          <cell r="AM49" t="str">
            <v>#N/A N.A.</v>
          </cell>
          <cell r="BD49">
            <v>33969</v>
          </cell>
          <cell r="BE49" t="str">
            <v>#N/A N.A.</v>
          </cell>
        </row>
        <row r="50">
          <cell r="B50">
            <v>33998</v>
          </cell>
          <cell r="C50">
            <v>221.5</v>
          </cell>
          <cell r="F50">
            <v>33998</v>
          </cell>
          <cell r="G50">
            <v>171</v>
          </cell>
          <cell r="J50">
            <v>33998</v>
          </cell>
          <cell r="K50" t="str">
            <v>#N/A N.A.</v>
          </cell>
          <cell r="N50">
            <v>33998</v>
          </cell>
          <cell r="O50" t="str">
            <v>#N/A N.A.</v>
          </cell>
          <cell r="T50">
            <v>33998</v>
          </cell>
          <cell r="U50" t="str">
            <v>#N/A N.A.</v>
          </cell>
          <cell r="Z50">
            <v>33998</v>
          </cell>
          <cell r="AA50">
            <v>290</v>
          </cell>
          <cell r="AF50">
            <v>33998</v>
          </cell>
          <cell r="AG50">
            <v>285</v>
          </cell>
          <cell r="AL50">
            <v>33998</v>
          </cell>
          <cell r="AM50" t="str">
            <v>#N/A N.A.</v>
          </cell>
          <cell r="BD50">
            <v>33998</v>
          </cell>
          <cell r="BE50">
            <v>440</v>
          </cell>
        </row>
        <row r="51">
          <cell r="B51">
            <v>34026</v>
          </cell>
          <cell r="C51">
            <v>237.5</v>
          </cell>
          <cell r="F51">
            <v>34026</v>
          </cell>
          <cell r="G51">
            <v>192.5</v>
          </cell>
          <cell r="J51">
            <v>34026</v>
          </cell>
          <cell r="K51" t="str">
            <v>#N/A N.A.</v>
          </cell>
          <cell r="N51">
            <v>34026</v>
          </cell>
          <cell r="O51" t="str">
            <v>#N/A N.A.</v>
          </cell>
          <cell r="T51">
            <v>34026</v>
          </cell>
          <cell r="U51" t="str">
            <v>#N/A N.A.</v>
          </cell>
          <cell r="Z51">
            <v>34026</v>
          </cell>
          <cell r="AA51">
            <v>290</v>
          </cell>
          <cell r="AF51">
            <v>34026</v>
          </cell>
          <cell r="AG51">
            <v>285</v>
          </cell>
          <cell r="AL51">
            <v>34026</v>
          </cell>
          <cell r="AM51" t="str">
            <v>#N/A N.A.</v>
          </cell>
          <cell r="BD51">
            <v>34026</v>
          </cell>
          <cell r="BE51">
            <v>440</v>
          </cell>
        </row>
        <row r="52">
          <cell r="B52">
            <v>34059</v>
          </cell>
          <cell r="C52">
            <v>237.5</v>
          </cell>
          <cell r="F52">
            <v>34059</v>
          </cell>
          <cell r="G52">
            <v>202.5</v>
          </cell>
          <cell r="J52">
            <v>34059</v>
          </cell>
          <cell r="K52" t="str">
            <v>#N/A N.A.</v>
          </cell>
          <cell r="N52">
            <v>34059</v>
          </cell>
          <cell r="O52" t="str">
            <v>#N/A N.A.</v>
          </cell>
          <cell r="T52">
            <v>34059</v>
          </cell>
          <cell r="U52" t="str">
            <v>#N/A N.A.</v>
          </cell>
          <cell r="Z52">
            <v>34059</v>
          </cell>
          <cell r="AA52">
            <v>290</v>
          </cell>
          <cell r="AF52">
            <v>34059</v>
          </cell>
          <cell r="AG52">
            <v>285</v>
          </cell>
          <cell r="AL52">
            <v>34059</v>
          </cell>
          <cell r="AM52" t="str">
            <v>#N/A N.A.</v>
          </cell>
          <cell r="BD52">
            <v>34059</v>
          </cell>
          <cell r="BE52">
            <v>440</v>
          </cell>
        </row>
        <row r="53">
          <cell r="B53">
            <v>34089</v>
          </cell>
          <cell r="C53">
            <v>241.5</v>
          </cell>
          <cell r="F53">
            <v>34089</v>
          </cell>
          <cell r="G53">
            <v>215</v>
          </cell>
          <cell r="J53">
            <v>34089</v>
          </cell>
          <cell r="K53" t="str">
            <v>#N/A N.A.</v>
          </cell>
          <cell r="N53">
            <v>34089</v>
          </cell>
          <cell r="O53" t="str">
            <v>#N/A N.A.</v>
          </cell>
          <cell r="T53">
            <v>34089</v>
          </cell>
          <cell r="U53" t="str">
            <v>#N/A N.A.</v>
          </cell>
          <cell r="Z53">
            <v>34089</v>
          </cell>
          <cell r="AA53">
            <v>290</v>
          </cell>
          <cell r="AF53">
            <v>34089</v>
          </cell>
          <cell r="AG53">
            <v>285</v>
          </cell>
          <cell r="AL53">
            <v>34089</v>
          </cell>
          <cell r="AM53" t="str">
            <v>#N/A N.A.</v>
          </cell>
          <cell r="BD53">
            <v>34089</v>
          </cell>
          <cell r="BE53">
            <v>440</v>
          </cell>
        </row>
        <row r="54">
          <cell r="B54">
            <v>34120</v>
          </cell>
          <cell r="C54">
            <v>241.5</v>
          </cell>
          <cell r="F54">
            <v>34120</v>
          </cell>
          <cell r="G54">
            <v>232.5</v>
          </cell>
          <cell r="J54">
            <v>34120</v>
          </cell>
          <cell r="K54" t="str">
            <v>#N/A N.A.</v>
          </cell>
          <cell r="N54">
            <v>34120</v>
          </cell>
          <cell r="O54" t="str">
            <v>#N/A N.A.</v>
          </cell>
          <cell r="T54">
            <v>34120</v>
          </cell>
          <cell r="U54" t="str">
            <v>#N/A N.A.</v>
          </cell>
          <cell r="Z54">
            <v>34120</v>
          </cell>
          <cell r="AA54">
            <v>302.5</v>
          </cell>
          <cell r="AF54">
            <v>34120</v>
          </cell>
          <cell r="AG54">
            <v>290</v>
          </cell>
          <cell r="AL54">
            <v>34120</v>
          </cell>
          <cell r="AM54" t="str">
            <v>#N/A N.A.</v>
          </cell>
          <cell r="BD54">
            <v>34120</v>
          </cell>
          <cell r="BE54">
            <v>450</v>
          </cell>
        </row>
        <row r="55">
          <cell r="B55">
            <v>34150</v>
          </cell>
          <cell r="C55">
            <v>241.5</v>
          </cell>
          <cell r="F55">
            <v>34150</v>
          </cell>
          <cell r="G55">
            <v>232.5</v>
          </cell>
          <cell r="J55">
            <v>34150</v>
          </cell>
          <cell r="K55" t="str">
            <v>#N/A N.A.</v>
          </cell>
          <cell r="N55">
            <v>34150</v>
          </cell>
          <cell r="O55" t="str">
            <v>#N/A N.A.</v>
          </cell>
          <cell r="T55">
            <v>34150</v>
          </cell>
          <cell r="U55" t="str">
            <v>#N/A N.A.</v>
          </cell>
          <cell r="Z55">
            <v>34150</v>
          </cell>
          <cell r="AA55">
            <v>302.5</v>
          </cell>
          <cell r="AF55">
            <v>34150</v>
          </cell>
          <cell r="AG55">
            <v>300</v>
          </cell>
          <cell r="AL55">
            <v>34150</v>
          </cell>
          <cell r="AM55" t="str">
            <v>#N/A N.A.</v>
          </cell>
          <cell r="BD55">
            <v>34150</v>
          </cell>
          <cell r="BE55">
            <v>465</v>
          </cell>
        </row>
        <row r="56">
          <cell r="B56">
            <v>34180</v>
          </cell>
          <cell r="C56">
            <v>230</v>
          </cell>
          <cell r="F56">
            <v>34180</v>
          </cell>
          <cell r="G56">
            <v>225</v>
          </cell>
          <cell r="J56">
            <v>34180</v>
          </cell>
          <cell r="K56" t="str">
            <v>#N/A N.A.</v>
          </cell>
          <cell r="N56">
            <v>34180</v>
          </cell>
          <cell r="O56" t="str">
            <v>#N/A N.A.</v>
          </cell>
          <cell r="T56">
            <v>34180</v>
          </cell>
          <cell r="U56" t="str">
            <v>#N/A N.A.</v>
          </cell>
          <cell r="Z56">
            <v>34180</v>
          </cell>
          <cell r="AA56">
            <v>290</v>
          </cell>
          <cell r="AF56">
            <v>34180</v>
          </cell>
          <cell r="AG56">
            <v>277.5</v>
          </cell>
          <cell r="AL56">
            <v>34180</v>
          </cell>
          <cell r="AM56" t="str">
            <v>#N/A N.A.</v>
          </cell>
          <cell r="BD56">
            <v>34180</v>
          </cell>
          <cell r="BE56">
            <v>445</v>
          </cell>
        </row>
        <row r="57">
          <cell r="B57">
            <v>34212</v>
          </cell>
          <cell r="C57">
            <v>230</v>
          </cell>
          <cell r="F57">
            <v>34212</v>
          </cell>
          <cell r="G57">
            <v>222.5</v>
          </cell>
          <cell r="J57">
            <v>34212</v>
          </cell>
          <cell r="K57" t="str">
            <v>#N/A N.A.</v>
          </cell>
          <cell r="N57">
            <v>34212</v>
          </cell>
          <cell r="O57" t="str">
            <v>#N/A N.A.</v>
          </cell>
          <cell r="T57">
            <v>34212</v>
          </cell>
          <cell r="U57" t="str">
            <v>#N/A N.A.</v>
          </cell>
          <cell r="Z57">
            <v>34212</v>
          </cell>
          <cell r="AA57">
            <v>290</v>
          </cell>
          <cell r="AF57">
            <v>34212</v>
          </cell>
          <cell r="AG57">
            <v>277.5</v>
          </cell>
          <cell r="AL57">
            <v>34212</v>
          </cell>
          <cell r="AM57" t="str">
            <v>#N/A N.A.</v>
          </cell>
          <cell r="BD57">
            <v>34212</v>
          </cell>
          <cell r="BE57">
            <v>445</v>
          </cell>
        </row>
        <row r="58">
          <cell r="B58">
            <v>34242</v>
          </cell>
          <cell r="C58">
            <v>235</v>
          </cell>
          <cell r="F58">
            <v>34242</v>
          </cell>
          <cell r="G58">
            <v>225</v>
          </cell>
          <cell r="J58">
            <v>34242</v>
          </cell>
          <cell r="K58" t="str">
            <v>#N/A N.A.</v>
          </cell>
          <cell r="N58">
            <v>34242</v>
          </cell>
          <cell r="O58" t="str">
            <v>#N/A N.A.</v>
          </cell>
          <cell r="T58">
            <v>34242</v>
          </cell>
          <cell r="U58" t="str">
            <v>#N/A N.A.</v>
          </cell>
          <cell r="Z58">
            <v>34242</v>
          </cell>
          <cell r="AA58">
            <v>290</v>
          </cell>
          <cell r="AF58">
            <v>34242</v>
          </cell>
          <cell r="AG58">
            <v>277.5</v>
          </cell>
          <cell r="AL58">
            <v>34242</v>
          </cell>
          <cell r="AM58" t="str">
            <v>#N/A N.A.</v>
          </cell>
          <cell r="BD58">
            <v>34242</v>
          </cell>
          <cell r="BE58">
            <v>445</v>
          </cell>
        </row>
        <row r="59">
          <cell r="B59">
            <v>34271</v>
          </cell>
          <cell r="C59">
            <v>232.5</v>
          </cell>
          <cell r="F59">
            <v>34271</v>
          </cell>
          <cell r="G59">
            <v>225</v>
          </cell>
          <cell r="J59">
            <v>34271</v>
          </cell>
          <cell r="K59" t="str">
            <v>#N/A N.A.</v>
          </cell>
          <cell r="N59">
            <v>34271</v>
          </cell>
          <cell r="O59" t="str">
            <v>#N/A N.A.</v>
          </cell>
          <cell r="T59">
            <v>34271</v>
          </cell>
          <cell r="U59" t="str">
            <v>#N/A N.A.</v>
          </cell>
          <cell r="Z59">
            <v>34271</v>
          </cell>
          <cell r="AA59">
            <v>285</v>
          </cell>
          <cell r="AF59">
            <v>34271</v>
          </cell>
          <cell r="AG59">
            <v>272.5</v>
          </cell>
          <cell r="AL59">
            <v>34271</v>
          </cell>
          <cell r="AM59" t="str">
            <v>#N/A N.A.</v>
          </cell>
          <cell r="BD59">
            <v>34271</v>
          </cell>
          <cell r="BE59">
            <v>425</v>
          </cell>
        </row>
        <row r="60">
          <cell r="B60">
            <v>34303</v>
          </cell>
          <cell r="C60">
            <v>227.5</v>
          </cell>
          <cell r="F60">
            <v>34303</v>
          </cell>
          <cell r="G60">
            <v>210</v>
          </cell>
          <cell r="J60">
            <v>34303</v>
          </cell>
          <cell r="K60" t="str">
            <v>#N/A N.A.</v>
          </cell>
          <cell r="N60">
            <v>34303</v>
          </cell>
          <cell r="O60" t="str">
            <v>#N/A N.A.</v>
          </cell>
          <cell r="T60">
            <v>34303</v>
          </cell>
          <cell r="U60" t="str">
            <v>#N/A N.A.</v>
          </cell>
          <cell r="Z60">
            <v>34303</v>
          </cell>
          <cell r="AA60">
            <v>285</v>
          </cell>
          <cell r="AF60">
            <v>34303</v>
          </cell>
          <cell r="AG60">
            <v>275</v>
          </cell>
          <cell r="AL60">
            <v>34303</v>
          </cell>
          <cell r="AM60" t="str">
            <v>#N/A N.A.</v>
          </cell>
          <cell r="BD60">
            <v>34303</v>
          </cell>
          <cell r="BE60">
            <v>425</v>
          </cell>
        </row>
        <row r="61">
          <cell r="B61">
            <v>34334</v>
          </cell>
          <cell r="C61">
            <v>227.5</v>
          </cell>
          <cell r="F61">
            <v>34334</v>
          </cell>
          <cell r="G61">
            <v>210</v>
          </cell>
          <cell r="J61">
            <v>34334</v>
          </cell>
          <cell r="K61" t="str">
            <v>#N/A N.A.</v>
          </cell>
          <cell r="N61">
            <v>34334</v>
          </cell>
          <cell r="O61" t="str">
            <v>#N/A N.A.</v>
          </cell>
          <cell r="T61">
            <v>34334</v>
          </cell>
          <cell r="U61" t="str">
            <v>#N/A N.A.</v>
          </cell>
          <cell r="Z61">
            <v>34334</v>
          </cell>
          <cell r="AA61">
            <v>285</v>
          </cell>
          <cell r="AF61">
            <v>34334</v>
          </cell>
          <cell r="AG61">
            <v>280</v>
          </cell>
          <cell r="AL61">
            <v>34334</v>
          </cell>
          <cell r="AM61" t="str">
            <v>#N/A N.A.</v>
          </cell>
          <cell r="BD61">
            <v>34334</v>
          </cell>
          <cell r="BE61">
            <v>417.5</v>
          </cell>
        </row>
        <row r="62">
          <cell r="B62">
            <v>34365</v>
          </cell>
          <cell r="C62">
            <v>225</v>
          </cell>
          <cell r="F62">
            <v>34365</v>
          </cell>
          <cell r="G62">
            <v>207.5</v>
          </cell>
          <cell r="J62">
            <v>34365</v>
          </cell>
          <cell r="K62" t="str">
            <v>#N/A N.A.</v>
          </cell>
          <cell r="N62">
            <v>34365</v>
          </cell>
          <cell r="O62" t="str">
            <v>#N/A N.A.</v>
          </cell>
          <cell r="T62">
            <v>34365</v>
          </cell>
          <cell r="U62" t="str">
            <v>#N/A N.A.</v>
          </cell>
          <cell r="Z62">
            <v>34365</v>
          </cell>
          <cell r="AA62">
            <v>285</v>
          </cell>
          <cell r="AF62">
            <v>34365</v>
          </cell>
          <cell r="AG62">
            <v>280</v>
          </cell>
          <cell r="AL62">
            <v>34365</v>
          </cell>
          <cell r="AM62" t="str">
            <v>#N/A N.A.</v>
          </cell>
          <cell r="BD62">
            <v>34365</v>
          </cell>
          <cell r="BE62">
            <v>417.5</v>
          </cell>
        </row>
        <row r="63">
          <cell r="B63">
            <v>34393</v>
          </cell>
          <cell r="C63">
            <v>225</v>
          </cell>
          <cell r="F63">
            <v>34393</v>
          </cell>
          <cell r="G63">
            <v>207.5</v>
          </cell>
          <cell r="J63">
            <v>34393</v>
          </cell>
          <cell r="K63" t="str">
            <v>#N/A N.A.</v>
          </cell>
          <cell r="N63">
            <v>34393</v>
          </cell>
          <cell r="O63" t="str">
            <v>#N/A N.A.</v>
          </cell>
          <cell r="T63">
            <v>34393</v>
          </cell>
          <cell r="U63">
            <v>300</v>
          </cell>
          <cell r="Z63">
            <v>34393</v>
          </cell>
          <cell r="AA63">
            <v>285</v>
          </cell>
          <cell r="AF63">
            <v>34393</v>
          </cell>
          <cell r="AG63">
            <v>285</v>
          </cell>
          <cell r="AL63">
            <v>34393</v>
          </cell>
          <cell r="AM63" t="str">
            <v>#N/A N.A.</v>
          </cell>
          <cell r="BD63">
            <v>34393</v>
          </cell>
          <cell r="BE63">
            <v>440</v>
          </cell>
        </row>
        <row r="64">
          <cell r="B64">
            <v>34424</v>
          </cell>
          <cell r="C64">
            <v>225</v>
          </cell>
          <cell r="F64">
            <v>34424</v>
          </cell>
          <cell r="G64">
            <v>227.5</v>
          </cell>
          <cell r="J64">
            <v>34424</v>
          </cell>
          <cell r="K64" t="str">
            <v>#N/A N.A.</v>
          </cell>
          <cell r="N64">
            <v>34424</v>
          </cell>
          <cell r="O64" t="str">
            <v>#N/A N.A.</v>
          </cell>
          <cell r="T64">
            <v>34424</v>
          </cell>
          <cell r="U64">
            <v>300</v>
          </cell>
          <cell r="Z64">
            <v>34424</v>
          </cell>
          <cell r="AA64">
            <v>285</v>
          </cell>
          <cell r="AF64">
            <v>34424</v>
          </cell>
          <cell r="AG64">
            <v>285</v>
          </cell>
          <cell r="AL64">
            <v>34424</v>
          </cell>
          <cell r="AM64" t="str">
            <v>#N/A N.A.</v>
          </cell>
          <cell r="BD64">
            <v>34424</v>
          </cell>
          <cell r="BE64">
            <v>440</v>
          </cell>
        </row>
        <row r="65">
          <cell r="B65">
            <v>34453</v>
          </cell>
          <cell r="C65">
            <v>230</v>
          </cell>
          <cell r="F65">
            <v>34453</v>
          </cell>
          <cell r="G65">
            <v>237.5</v>
          </cell>
          <cell r="J65">
            <v>34453</v>
          </cell>
          <cell r="K65" t="str">
            <v>#N/A N.A.</v>
          </cell>
          <cell r="N65">
            <v>34453</v>
          </cell>
          <cell r="O65" t="str">
            <v>#N/A N.A.</v>
          </cell>
          <cell r="T65">
            <v>34453</v>
          </cell>
          <cell r="U65">
            <v>300</v>
          </cell>
          <cell r="Z65">
            <v>34453</v>
          </cell>
          <cell r="AA65">
            <v>290</v>
          </cell>
          <cell r="AF65">
            <v>34453</v>
          </cell>
          <cell r="AG65">
            <v>290</v>
          </cell>
          <cell r="AL65">
            <v>34453</v>
          </cell>
          <cell r="AM65" t="str">
            <v>#N/A N.A.</v>
          </cell>
          <cell r="BD65">
            <v>34453</v>
          </cell>
          <cell r="BE65">
            <v>450</v>
          </cell>
        </row>
        <row r="66">
          <cell r="B66">
            <v>34485</v>
          </cell>
          <cell r="C66">
            <v>222.5</v>
          </cell>
          <cell r="F66">
            <v>34485</v>
          </cell>
          <cell r="G66">
            <v>242.5</v>
          </cell>
          <cell r="J66">
            <v>34485</v>
          </cell>
          <cell r="K66" t="str">
            <v>#N/A N.A.</v>
          </cell>
          <cell r="N66">
            <v>34485</v>
          </cell>
          <cell r="O66" t="str">
            <v>#N/A N.A.</v>
          </cell>
          <cell r="T66">
            <v>34485</v>
          </cell>
          <cell r="U66">
            <v>300</v>
          </cell>
          <cell r="Z66">
            <v>34485</v>
          </cell>
          <cell r="AA66">
            <v>290</v>
          </cell>
          <cell r="AF66">
            <v>34485</v>
          </cell>
          <cell r="AG66">
            <v>290</v>
          </cell>
          <cell r="AL66">
            <v>34485</v>
          </cell>
          <cell r="AM66" t="str">
            <v>#N/A N.A.</v>
          </cell>
          <cell r="BD66">
            <v>34485</v>
          </cell>
          <cell r="BE66">
            <v>450</v>
          </cell>
        </row>
        <row r="67">
          <cell r="B67">
            <v>34515</v>
          </cell>
          <cell r="C67">
            <v>222.5</v>
          </cell>
          <cell r="F67">
            <v>34515</v>
          </cell>
          <cell r="G67">
            <v>242.5</v>
          </cell>
          <cell r="J67">
            <v>34515</v>
          </cell>
          <cell r="K67" t="str">
            <v>#N/A N.A.</v>
          </cell>
          <cell r="N67">
            <v>34515</v>
          </cell>
          <cell r="O67" t="str">
            <v>#N/A N.A.</v>
          </cell>
          <cell r="T67">
            <v>34515</v>
          </cell>
          <cell r="U67">
            <v>300</v>
          </cell>
          <cell r="Z67">
            <v>34515</v>
          </cell>
          <cell r="AA67">
            <v>295</v>
          </cell>
          <cell r="AF67">
            <v>34515</v>
          </cell>
          <cell r="AG67">
            <v>295</v>
          </cell>
          <cell r="AL67">
            <v>34515</v>
          </cell>
          <cell r="AM67" t="str">
            <v>#N/A N.A.</v>
          </cell>
          <cell r="BD67">
            <v>34515</v>
          </cell>
          <cell r="BE67">
            <v>450</v>
          </cell>
        </row>
        <row r="68">
          <cell r="B68">
            <v>34544</v>
          </cell>
          <cell r="C68">
            <v>227.5</v>
          </cell>
          <cell r="F68">
            <v>34544</v>
          </cell>
          <cell r="G68">
            <v>247.5</v>
          </cell>
          <cell r="J68">
            <v>34544</v>
          </cell>
          <cell r="K68" t="str">
            <v>#N/A N.A.</v>
          </cell>
          <cell r="N68">
            <v>34544</v>
          </cell>
          <cell r="O68" t="str">
            <v>#N/A N.A.</v>
          </cell>
          <cell r="T68">
            <v>34544</v>
          </cell>
          <cell r="U68">
            <v>300</v>
          </cell>
          <cell r="Z68">
            <v>34544</v>
          </cell>
          <cell r="AA68">
            <v>300</v>
          </cell>
          <cell r="AF68">
            <v>34544</v>
          </cell>
          <cell r="AG68">
            <v>302.5</v>
          </cell>
          <cell r="AL68">
            <v>34544</v>
          </cell>
          <cell r="AM68" t="str">
            <v>#N/A N.A.</v>
          </cell>
          <cell r="BD68">
            <v>34544</v>
          </cell>
          <cell r="BE68">
            <v>470</v>
          </cell>
        </row>
        <row r="69">
          <cell r="B69">
            <v>34577</v>
          </cell>
          <cell r="C69">
            <v>222.5</v>
          </cell>
          <cell r="F69">
            <v>34577</v>
          </cell>
          <cell r="G69">
            <v>247.5</v>
          </cell>
          <cell r="J69">
            <v>34577</v>
          </cell>
          <cell r="K69" t="str">
            <v>#N/A N.A.</v>
          </cell>
          <cell r="N69">
            <v>34577</v>
          </cell>
          <cell r="O69" t="str">
            <v>#N/A N.A.</v>
          </cell>
          <cell r="T69">
            <v>34577</v>
          </cell>
          <cell r="U69">
            <v>300</v>
          </cell>
          <cell r="Z69">
            <v>34577</v>
          </cell>
          <cell r="AA69">
            <v>310</v>
          </cell>
          <cell r="AF69">
            <v>34577</v>
          </cell>
          <cell r="AG69">
            <v>312.5</v>
          </cell>
          <cell r="AL69">
            <v>34577</v>
          </cell>
          <cell r="AM69" t="str">
            <v>#N/A N.A.</v>
          </cell>
          <cell r="BD69">
            <v>34577</v>
          </cell>
          <cell r="BE69">
            <v>470</v>
          </cell>
        </row>
        <row r="70">
          <cell r="B70">
            <v>34607</v>
          </cell>
          <cell r="C70">
            <v>215</v>
          </cell>
          <cell r="F70">
            <v>34607</v>
          </cell>
          <cell r="G70">
            <v>255</v>
          </cell>
          <cell r="J70">
            <v>34607</v>
          </cell>
          <cell r="K70" t="str">
            <v>#N/A N.A.</v>
          </cell>
          <cell r="N70">
            <v>34607</v>
          </cell>
          <cell r="O70" t="str">
            <v>#N/A N.A.</v>
          </cell>
          <cell r="T70">
            <v>34607</v>
          </cell>
          <cell r="U70">
            <v>300</v>
          </cell>
          <cell r="Z70">
            <v>34607</v>
          </cell>
          <cell r="AA70">
            <v>310</v>
          </cell>
          <cell r="AF70">
            <v>34607</v>
          </cell>
          <cell r="AG70">
            <v>312.5</v>
          </cell>
          <cell r="AL70">
            <v>34607</v>
          </cell>
          <cell r="AM70" t="str">
            <v>#N/A N.A.</v>
          </cell>
          <cell r="BD70">
            <v>34607</v>
          </cell>
          <cell r="BE70">
            <v>480</v>
          </cell>
        </row>
        <row r="71">
          <cell r="B71">
            <v>34638</v>
          </cell>
          <cell r="C71">
            <v>217.5</v>
          </cell>
          <cell r="F71">
            <v>34638</v>
          </cell>
          <cell r="G71">
            <v>260</v>
          </cell>
          <cell r="J71">
            <v>34638</v>
          </cell>
          <cell r="K71" t="str">
            <v>#N/A N.A.</v>
          </cell>
          <cell r="N71">
            <v>34638</v>
          </cell>
          <cell r="O71" t="str">
            <v>#N/A N.A.</v>
          </cell>
          <cell r="T71">
            <v>34638</v>
          </cell>
          <cell r="U71">
            <v>300</v>
          </cell>
          <cell r="Z71">
            <v>34638</v>
          </cell>
          <cell r="AA71">
            <v>310</v>
          </cell>
          <cell r="AF71">
            <v>34638</v>
          </cell>
          <cell r="AG71">
            <v>312.5</v>
          </cell>
          <cell r="AL71">
            <v>34638</v>
          </cell>
          <cell r="AM71" t="str">
            <v>#N/A N.A.</v>
          </cell>
          <cell r="BD71">
            <v>34638</v>
          </cell>
          <cell r="BE71">
            <v>480</v>
          </cell>
        </row>
        <row r="72">
          <cell r="B72">
            <v>34668</v>
          </cell>
          <cell r="C72">
            <v>217.5</v>
          </cell>
          <cell r="F72">
            <v>34668</v>
          </cell>
          <cell r="G72">
            <v>262.5</v>
          </cell>
          <cell r="J72">
            <v>34668</v>
          </cell>
          <cell r="K72" t="str">
            <v>#N/A N.A.</v>
          </cell>
          <cell r="N72">
            <v>34668</v>
          </cell>
          <cell r="O72" t="str">
            <v>#N/A N.A.</v>
          </cell>
          <cell r="T72">
            <v>34668</v>
          </cell>
          <cell r="U72">
            <v>300</v>
          </cell>
          <cell r="Z72">
            <v>34668</v>
          </cell>
          <cell r="AA72">
            <v>310</v>
          </cell>
          <cell r="AF72">
            <v>34668</v>
          </cell>
          <cell r="AG72">
            <v>312.5</v>
          </cell>
          <cell r="AL72">
            <v>34668</v>
          </cell>
          <cell r="AM72">
            <v>307.5</v>
          </cell>
          <cell r="BD72">
            <v>34668</v>
          </cell>
          <cell r="BE72">
            <v>512.5</v>
          </cell>
        </row>
        <row r="73">
          <cell r="B73">
            <v>34698</v>
          </cell>
          <cell r="C73">
            <v>237.5</v>
          </cell>
          <cell r="F73">
            <v>34698</v>
          </cell>
          <cell r="G73">
            <v>270</v>
          </cell>
          <cell r="J73">
            <v>34698</v>
          </cell>
          <cell r="K73" t="str">
            <v>#N/A N.A.</v>
          </cell>
          <cell r="N73">
            <v>34698</v>
          </cell>
          <cell r="O73" t="str">
            <v>#N/A N.A.</v>
          </cell>
          <cell r="T73">
            <v>34698</v>
          </cell>
          <cell r="U73">
            <v>300</v>
          </cell>
          <cell r="Z73">
            <v>34698</v>
          </cell>
          <cell r="AA73">
            <v>357.5</v>
          </cell>
          <cell r="AF73">
            <v>34698</v>
          </cell>
          <cell r="AG73">
            <v>367.5</v>
          </cell>
          <cell r="AL73">
            <v>34698</v>
          </cell>
          <cell r="AM73">
            <v>357.5</v>
          </cell>
          <cell r="BD73">
            <v>34698</v>
          </cell>
          <cell r="BE73">
            <v>527.5</v>
          </cell>
        </row>
        <row r="74">
          <cell r="B74">
            <v>34730</v>
          </cell>
          <cell r="C74">
            <v>237.5</v>
          </cell>
          <cell r="F74">
            <v>34730</v>
          </cell>
          <cell r="G74">
            <v>275</v>
          </cell>
          <cell r="J74">
            <v>34730</v>
          </cell>
          <cell r="K74">
            <v>285</v>
          </cell>
          <cell r="N74">
            <v>34730</v>
          </cell>
          <cell r="O74" t="str">
            <v>#N/A N.A.</v>
          </cell>
          <cell r="T74">
            <v>34730</v>
          </cell>
          <cell r="U74">
            <v>300</v>
          </cell>
          <cell r="Z74">
            <v>34730</v>
          </cell>
          <cell r="AA74">
            <v>425</v>
          </cell>
          <cell r="AF74">
            <v>34730</v>
          </cell>
          <cell r="AG74">
            <v>402.5</v>
          </cell>
          <cell r="AL74">
            <v>34730</v>
          </cell>
          <cell r="AM74">
            <v>397.5</v>
          </cell>
          <cell r="BD74">
            <v>34730</v>
          </cell>
          <cell r="BE74">
            <v>565</v>
          </cell>
        </row>
        <row r="75">
          <cell r="B75">
            <v>34758</v>
          </cell>
          <cell r="C75">
            <v>237.5</v>
          </cell>
          <cell r="F75">
            <v>34758</v>
          </cell>
          <cell r="G75">
            <v>285</v>
          </cell>
          <cell r="J75">
            <v>34758</v>
          </cell>
          <cell r="K75">
            <v>300</v>
          </cell>
          <cell r="N75">
            <v>34758</v>
          </cell>
          <cell r="O75">
            <v>302.5</v>
          </cell>
          <cell r="T75">
            <v>34758</v>
          </cell>
          <cell r="U75">
            <v>302.5</v>
          </cell>
          <cell r="Z75">
            <v>34758</v>
          </cell>
          <cell r="AA75">
            <v>425</v>
          </cell>
          <cell r="AF75">
            <v>34758</v>
          </cell>
          <cell r="AG75">
            <v>402.5</v>
          </cell>
          <cell r="AL75">
            <v>34758</v>
          </cell>
          <cell r="AM75">
            <v>397.5</v>
          </cell>
          <cell r="BD75">
            <v>34758</v>
          </cell>
          <cell r="BE75">
            <v>565</v>
          </cell>
        </row>
        <row r="76">
          <cell r="B76">
            <v>34789</v>
          </cell>
          <cell r="C76">
            <v>237.5</v>
          </cell>
          <cell r="F76">
            <v>34789</v>
          </cell>
          <cell r="G76">
            <v>285</v>
          </cell>
          <cell r="J76">
            <v>34789</v>
          </cell>
          <cell r="K76">
            <v>300</v>
          </cell>
          <cell r="N76">
            <v>34789</v>
          </cell>
          <cell r="O76">
            <v>310</v>
          </cell>
          <cell r="T76">
            <v>34789</v>
          </cell>
          <cell r="U76">
            <v>302.5</v>
          </cell>
          <cell r="Z76">
            <v>34789</v>
          </cell>
          <cell r="AA76">
            <v>420</v>
          </cell>
          <cell r="AF76">
            <v>34789</v>
          </cell>
          <cell r="AG76">
            <v>397.5</v>
          </cell>
          <cell r="AL76">
            <v>34789</v>
          </cell>
          <cell r="AM76">
            <v>392.5</v>
          </cell>
          <cell r="BD76">
            <v>34789</v>
          </cell>
          <cell r="BE76">
            <v>565</v>
          </cell>
        </row>
        <row r="77">
          <cell r="B77">
            <v>34817</v>
          </cell>
          <cell r="C77">
            <v>237.5</v>
          </cell>
          <cell r="F77">
            <v>34817</v>
          </cell>
          <cell r="G77">
            <v>285</v>
          </cell>
          <cell r="J77">
            <v>34817</v>
          </cell>
          <cell r="K77">
            <v>300</v>
          </cell>
          <cell r="N77">
            <v>34817</v>
          </cell>
          <cell r="O77">
            <v>315</v>
          </cell>
          <cell r="T77">
            <v>34817</v>
          </cell>
          <cell r="U77">
            <v>302.5</v>
          </cell>
          <cell r="Z77">
            <v>34817</v>
          </cell>
          <cell r="AA77">
            <v>420</v>
          </cell>
          <cell r="AF77">
            <v>34817</v>
          </cell>
          <cell r="AG77">
            <v>397.5</v>
          </cell>
          <cell r="AL77">
            <v>34817</v>
          </cell>
          <cell r="AM77">
            <v>392.5</v>
          </cell>
          <cell r="BD77">
            <v>34817</v>
          </cell>
          <cell r="BE77">
            <v>590</v>
          </cell>
        </row>
        <row r="78">
          <cell r="B78">
            <v>34850</v>
          </cell>
          <cell r="C78">
            <v>240</v>
          </cell>
          <cell r="F78">
            <v>34850</v>
          </cell>
          <cell r="G78">
            <v>295</v>
          </cell>
          <cell r="J78">
            <v>34850</v>
          </cell>
          <cell r="K78">
            <v>300</v>
          </cell>
          <cell r="N78">
            <v>34850</v>
          </cell>
          <cell r="O78">
            <v>315</v>
          </cell>
          <cell r="T78">
            <v>34850</v>
          </cell>
          <cell r="U78">
            <v>302.5</v>
          </cell>
          <cell r="Z78">
            <v>34850</v>
          </cell>
          <cell r="AA78">
            <v>420</v>
          </cell>
          <cell r="AF78">
            <v>34850</v>
          </cell>
          <cell r="AG78">
            <v>402.5</v>
          </cell>
          <cell r="AL78">
            <v>34850</v>
          </cell>
          <cell r="AM78">
            <v>397.5</v>
          </cell>
          <cell r="BD78">
            <v>34850</v>
          </cell>
          <cell r="BE78">
            <v>590</v>
          </cell>
        </row>
        <row r="79">
          <cell r="B79">
            <v>34880</v>
          </cell>
          <cell r="C79">
            <v>240</v>
          </cell>
          <cell r="F79">
            <v>34880</v>
          </cell>
          <cell r="G79">
            <v>295</v>
          </cell>
          <cell r="J79">
            <v>34880</v>
          </cell>
          <cell r="K79">
            <v>280</v>
          </cell>
          <cell r="N79">
            <v>34880</v>
          </cell>
          <cell r="O79">
            <v>310</v>
          </cell>
          <cell r="T79">
            <v>34880</v>
          </cell>
          <cell r="U79">
            <v>302.5</v>
          </cell>
          <cell r="Z79">
            <v>34880</v>
          </cell>
          <cell r="AA79">
            <v>420</v>
          </cell>
          <cell r="AF79">
            <v>34880</v>
          </cell>
          <cell r="AG79">
            <v>402.5</v>
          </cell>
          <cell r="AL79">
            <v>34880</v>
          </cell>
          <cell r="AM79">
            <v>397.5</v>
          </cell>
          <cell r="BD79">
            <v>34880</v>
          </cell>
          <cell r="BE79">
            <v>590</v>
          </cell>
        </row>
        <row r="80">
          <cell r="B80">
            <v>34911</v>
          </cell>
          <cell r="C80">
            <v>240</v>
          </cell>
          <cell r="F80">
            <v>34911</v>
          </cell>
          <cell r="G80">
            <v>285</v>
          </cell>
          <cell r="J80">
            <v>34911</v>
          </cell>
          <cell r="K80">
            <v>270</v>
          </cell>
          <cell r="N80">
            <v>34911</v>
          </cell>
          <cell r="O80">
            <v>287.5</v>
          </cell>
          <cell r="T80">
            <v>34911</v>
          </cell>
          <cell r="U80">
            <v>302.5</v>
          </cell>
          <cell r="Z80">
            <v>34911</v>
          </cell>
          <cell r="AA80">
            <v>400</v>
          </cell>
          <cell r="AF80">
            <v>34911</v>
          </cell>
          <cell r="AG80">
            <v>382.5</v>
          </cell>
          <cell r="AL80">
            <v>34911</v>
          </cell>
          <cell r="AM80">
            <v>380</v>
          </cell>
          <cell r="BD80">
            <v>34911</v>
          </cell>
          <cell r="BE80">
            <v>570</v>
          </cell>
        </row>
        <row r="81">
          <cell r="B81">
            <v>34942</v>
          </cell>
          <cell r="C81">
            <v>240</v>
          </cell>
          <cell r="F81">
            <v>34942</v>
          </cell>
          <cell r="G81">
            <v>270</v>
          </cell>
          <cell r="J81">
            <v>34942</v>
          </cell>
          <cell r="K81">
            <v>270</v>
          </cell>
          <cell r="N81">
            <v>34942</v>
          </cell>
          <cell r="O81">
            <v>287.5</v>
          </cell>
          <cell r="T81">
            <v>34942</v>
          </cell>
          <cell r="U81">
            <v>302.5</v>
          </cell>
          <cell r="Z81">
            <v>34942</v>
          </cell>
          <cell r="AA81">
            <v>395</v>
          </cell>
          <cell r="AF81">
            <v>34942</v>
          </cell>
          <cell r="AG81">
            <v>377.5</v>
          </cell>
          <cell r="AL81">
            <v>34942</v>
          </cell>
          <cell r="AM81">
            <v>375</v>
          </cell>
          <cell r="BD81">
            <v>34942</v>
          </cell>
          <cell r="BE81">
            <v>570</v>
          </cell>
        </row>
        <row r="82">
          <cell r="B82">
            <v>34971</v>
          </cell>
          <cell r="C82">
            <v>240</v>
          </cell>
          <cell r="F82">
            <v>34971</v>
          </cell>
          <cell r="G82">
            <v>270</v>
          </cell>
          <cell r="J82">
            <v>34971</v>
          </cell>
          <cell r="K82">
            <v>270</v>
          </cell>
          <cell r="N82">
            <v>34971</v>
          </cell>
          <cell r="O82">
            <v>285</v>
          </cell>
          <cell r="T82">
            <v>34971</v>
          </cell>
          <cell r="U82">
            <v>302.5</v>
          </cell>
          <cell r="Z82">
            <v>34971</v>
          </cell>
          <cell r="AA82">
            <v>395</v>
          </cell>
          <cell r="AF82">
            <v>34971</v>
          </cell>
          <cell r="AG82">
            <v>377.5</v>
          </cell>
          <cell r="AL82">
            <v>34971</v>
          </cell>
          <cell r="AM82">
            <v>375</v>
          </cell>
          <cell r="BD82">
            <v>34971</v>
          </cell>
          <cell r="BE82">
            <v>570</v>
          </cell>
        </row>
        <row r="83">
          <cell r="B83">
            <v>35003</v>
          </cell>
          <cell r="C83">
            <v>240</v>
          </cell>
          <cell r="F83">
            <v>35003</v>
          </cell>
          <cell r="G83">
            <v>250</v>
          </cell>
          <cell r="J83">
            <v>35003</v>
          </cell>
          <cell r="K83">
            <v>270</v>
          </cell>
          <cell r="N83">
            <v>35003</v>
          </cell>
          <cell r="O83">
            <v>285</v>
          </cell>
          <cell r="T83">
            <v>35003</v>
          </cell>
          <cell r="U83">
            <v>302.5</v>
          </cell>
          <cell r="Z83">
            <v>35003</v>
          </cell>
          <cell r="AA83">
            <v>395</v>
          </cell>
          <cell r="AF83">
            <v>35003</v>
          </cell>
          <cell r="AG83">
            <v>377.5</v>
          </cell>
          <cell r="AL83">
            <v>35003</v>
          </cell>
          <cell r="AM83">
            <v>375</v>
          </cell>
          <cell r="BD83">
            <v>35003</v>
          </cell>
          <cell r="BE83">
            <v>540</v>
          </cell>
        </row>
        <row r="84">
          <cell r="B84">
            <v>35033</v>
          </cell>
          <cell r="C84">
            <v>217.5</v>
          </cell>
          <cell r="F84">
            <v>35033</v>
          </cell>
          <cell r="G84">
            <v>210</v>
          </cell>
          <cell r="J84">
            <v>35033</v>
          </cell>
          <cell r="K84">
            <v>255</v>
          </cell>
          <cell r="N84">
            <v>35033</v>
          </cell>
          <cell r="O84">
            <v>270</v>
          </cell>
          <cell r="T84">
            <v>35033</v>
          </cell>
          <cell r="U84">
            <v>297.5</v>
          </cell>
          <cell r="Z84">
            <v>35033</v>
          </cell>
          <cell r="AA84">
            <v>390</v>
          </cell>
          <cell r="AF84">
            <v>35033</v>
          </cell>
          <cell r="AG84">
            <v>370</v>
          </cell>
          <cell r="AL84">
            <v>35033</v>
          </cell>
          <cell r="AM84">
            <v>370</v>
          </cell>
          <cell r="BD84">
            <v>35033</v>
          </cell>
          <cell r="BE84">
            <v>515</v>
          </cell>
        </row>
        <row r="85">
          <cell r="B85">
            <v>35062</v>
          </cell>
          <cell r="C85">
            <v>217.5</v>
          </cell>
          <cell r="F85">
            <v>35062</v>
          </cell>
          <cell r="G85">
            <v>210</v>
          </cell>
          <cell r="J85">
            <v>35062</v>
          </cell>
          <cell r="K85">
            <v>255</v>
          </cell>
          <cell r="N85">
            <v>35062</v>
          </cell>
          <cell r="O85">
            <v>275</v>
          </cell>
          <cell r="T85">
            <v>35062</v>
          </cell>
          <cell r="U85">
            <v>297.5</v>
          </cell>
          <cell r="Z85">
            <v>35062</v>
          </cell>
          <cell r="AA85">
            <v>390</v>
          </cell>
          <cell r="AF85">
            <v>35062</v>
          </cell>
          <cell r="AG85">
            <v>370</v>
          </cell>
          <cell r="AL85">
            <v>35062</v>
          </cell>
          <cell r="AM85">
            <v>370</v>
          </cell>
          <cell r="BD85">
            <v>35062</v>
          </cell>
          <cell r="BE85">
            <v>515</v>
          </cell>
        </row>
        <row r="86">
          <cell r="B86">
            <v>35095</v>
          </cell>
          <cell r="C86">
            <v>220</v>
          </cell>
          <cell r="F86">
            <v>35095</v>
          </cell>
          <cell r="G86">
            <v>210</v>
          </cell>
          <cell r="J86">
            <v>35095</v>
          </cell>
          <cell r="K86">
            <v>260</v>
          </cell>
          <cell r="N86">
            <v>35095</v>
          </cell>
          <cell r="O86">
            <v>277.5</v>
          </cell>
          <cell r="T86">
            <v>35095</v>
          </cell>
          <cell r="U86">
            <v>297.5</v>
          </cell>
          <cell r="Z86">
            <v>35095</v>
          </cell>
          <cell r="AA86">
            <v>370</v>
          </cell>
          <cell r="AF86">
            <v>35095</v>
          </cell>
          <cell r="AG86">
            <v>360</v>
          </cell>
          <cell r="AL86">
            <v>35095</v>
          </cell>
          <cell r="AM86">
            <v>360</v>
          </cell>
          <cell r="BD86">
            <v>35095</v>
          </cell>
          <cell r="BE86">
            <v>510</v>
          </cell>
        </row>
        <row r="87">
          <cell r="B87">
            <v>35124</v>
          </cell>
          <cell r="C87">
            <v>227.5</v>
          </cell>
          <cell r="F87">
            <v>35124</v>
          </cell>
          <cell r="G87">
            <v>212.5</v>
          </cell>
          <cell r="J87">
            <v>35124</v>
          </cell>
          <cell r="K87">
            <v>265</v>
          </cell>
          <cell r="N87">
            <v>35124</v>
          </cell>
          <cell r="O87">
            <v>270</v>
          </cell>
          <cell r="T87">
            <v>35124</v>
          </cell>
          <cell r="U87">
            <v>297.5</v>
          </cell>
          <cell r="Z87">
            <v>35124</v>
          </cell>
          <cell r="AA87">
            <v>370</v>
          </cell>
          <cell r="AF87">
            <v>35124</v>
          </cell>
          <cell r="AG87">
            <v>360</v>
          </cell>
          <cell r="AL87">
            <v>35124</v>
          </cell>
          <cell r="AM87">
            <v>360</v>
          </cell>
          <cell r="BD87">
            <v>35124</v>
          </cell>
          <cell r="BE87">
            <v>510</v>
          </cell>
        </row>
        <row r="88">
          <cell r="B88">
            <v>35153</v>
          </cell>
          <cell r="C88">
            <v>230</v>
          </cell>
          <cell r="F88">
            <v>35153</v>
          </cell>
          <cell r="G88">
            <v>212.5</v>
          </cell>
          <cell r="J88">
            <v>35153</v>
          </cell>
          <cell r="K88">
            <v>260</v>
          </cell>
          <cell r="N88">
            <v>35153</v>
          </cell>
          <cell r="O88">
            <v>285</v>
          </cell>
          <cell r="T88">
            <v>35153</v>
          </cell>
          <cell r="U88">
            <v>297.5</v>
          </cell>
          <cell r="Z88">
            <v>35153</v>
          </cell>
          <cell r="AA88">
            <v>370</v>
          </cell>
          <cell r="AF88">
            <v>35153</v>
          </cell>
          <cell r="AG88">
            <v>360</v>
          </cell>
          <cell r="AL88">
            <v>35153</v>
          </cell>
          <cell r="AM88">
            <v>360</v>
          </cell>
          <cell r="BD88">
            <v>35153</v>
          </cell>
          <cell r="BE88">
            <v>530</v>
          </cell>
        </row>
        <row r="89">
          <cell r="B89">
            <v>35185</v>
          </cell>
          <cell r="C89">
            <v>230</v>
          </cell>
          <cell r="F89">
            <v>35185</v>
          </cell>
          <cell r="G89">
            <v>215</v>
          </cell>
          <cell r="J89">
            <v>35185</v>
          </cell>
          <cell r="K89">
            <v>270</v>
          </cell>
          <cell r="N89">
            <v>35185</v>
          </cell>
          <cell r="O89">
            <v>282.5</v>
          </cell>
          <cell r="T89">
            <v>35185</v>
          </cell>
          <cell r="U89">
            <v>297.5</v>
          </cell>
          <cell r="Z89">
            <v>35185</v>
          </cell>
          <cell r="AA89">
            <v>370</v>
          </cell>
          <cell r="AF89">
            <v>35185</v>
          </cell>
          <cell r="AG89">
            <v>360</v>
          </cell>
          <cell r="AL89">
            <v>35185</v>
          </cell>
          <cell r="AM89">
            <v>360</v>
          </cell>
          <cell r="BD89">
            <v>35185</v>
          </cell>
          <cell r="BE89">
            <v>530</v>
          </cell>
        </row>
        <row r="90">
          <cell r="B90">
            <v>35216</v>
          </cell>
          <cell r="C90">
            <v>228.5</v>
          </cell>
          <cell r="F90">
            <v>35216</v>
          </cell>
          <cell r="G90">
            <v>225</v>
          </cell>
          <cell r="J90">
            <v>35216</v>
          </cell>
          <cell r="K90">
            <v>270</v>
          </cell>
          <cell r="N90">
            <v>35216</v>
          </cell>
          <cell r="O90">
            <v>287.5</v>
          </cell>
          <cell r="T90">
            <v>35216</v>
          </cell>
          <cell r="U90">
            <v>297.5</v>
          </cell>
          <cell r="Z90">
            <v>35216</v>
          </cell>
          <cell r="AA90">
            <v>370</v>
          </cell>
          <cell r="AF90">
            <v>35216</v>
          </cell>
          <cell r="AG90">
            <v>360</v>
          </cell>
          <cell r="AL90">
            <v>35216</v>
          </cell>
          <cell r="AM90">
            <v>360</v>
          </cell>
          <cell r="BD90">
            <v>35216</v>
          </cell>
          <cell r="BE90">
            <v>525</v>
          </cell>
        </row>
        <row r="91">
          <cell r="B91">
            <v>35244</v>
          </cell>
          <cell r="C91">
            <v>212.5</v>
          </cell>
          <cell r="F91">
            <v>35244</v>
          </cell>
          <cell r="G91">
            <v>225</v>
          </cell>
          <cell r="J91">
            <v>35244</v>
          </cell>
          <cell r="K91">
            <v>270</v>
          </cell>
          <cell r="N91">
            <v>35244</v>
          </cell>
          <cell r="O91">
            <v>275</v>
          </cell>
          <cell r="T91">
            <v>35244</v>
          </cell>
          <cell r="U91">
            <v>297.5</v>
          </cell>
          <cell r="Z91">
            <v>35244</v>
          </cell>
          <cell r="AA91">
            <v>370</v>
          </cell>
          <cell r="AF91">
            <v>35244</v>
          </cell>
          <cell r="AG91">
            <v>360</v>
          </cell>
          <cell r="AL91">
            <v>35244</v>
          </cell>
          <cell r="AM91">
            <v>360</v>
          </cell>
          <cell r="BD91">
            <v>35244</v>
          </cell>
          <cell r="BE91">
            <v>525</v>
          </cell>
        </row>
        <row r="92">
          <cell r="B92">
            <v>35277</v>
          </cell>
          <cell r="C92">
            <v>212.5</v>
          </cell>
          <cell r="F92">
            <v>35277</v>
          </cell>
          <cell r="G92">
            <v>225</v>
          </cell>
          <cell r="J92">
            <v>35277</v>
          </cell>
          <cell r="K92">
            <v>272.5</v>
          </cell>
          <cell r="N92">
            <v>35277</v>
          </cell>
          <cell r="O92">
            <v>275</v>
          </cell>
          <cell r="T92">
            <v>35277</v>
          </cell>
          <cell r="U92">
            <v>297.5</v>
          </cell>
          <cell r="Z92">
            <v>35277</v>
          </cell>
          <cell r="AA92">
            <v>370</v>
          </cell>
          <cell r="AF92">
            <v>35277</v>
          </cell>
          <cell r="AG92">
            <v>360</v>
          </cell>
          <cell r="AL92">
            <v>35277</v>
          </cell>
          <cell r="AM92">
            <v>360</v>
          </cell>
          <cell r="BD92">
            <v>35277</v>
          </cell>
          <cell r="BE92">
            <v>520</v>
          </cell>
        </row>
        <row r="93">
          <cell r="B93">
            <v>35307</v>
          </cell>
          <cell r="C93">
            <v>215</v>
          </cell>
          <cell r="F93">
            <v>35307</v>
          </cell>
          <cell r="G93">
            <v>212.5</v>
          </cell>
          <cell r="J93">
            <v>35307</v>
          </cell>
          <cell r="K93">
            <v>262.5</v>
          </cell>
          <cell r="N93">
            <v>35307</v>
          </cell>
          <cell r="O93">
            <v>265</v>
          </cell>
          <cell r="T93">
            <v>35307</v>
          </cell>
          <cell r="U93">
            <v>285</v>
          </cell>
          <cell r="Z93">
            <v>35307</v>
          </cell>
          <cell r="AA93">
            <v>350</v>
          </cell>
          <cell r="AF93">
            <v>35307</v>
          </cell>
          <cell r="AG93">
            <v>340</v>
          </cell>
          <cell r="AL93">
            <v>35307</v>
          </cell>
          <cell r="AM93">
            <v>340</v>
          </cell>
          <cell r="BD93">
            <v>35307</v>
          </cell>
          <cell r="BE93">
            <v>490</v>
          </cell>
        </row>
        <row r="94">
          <cell r="B94">
            <v>35338</v>
          </cell>
          <cell r="C94">
            <v>215</v>
          </cell>
          <cell r="F94">
            <v>35338</v>
          </cell>
          <cell r="G94">
            <v>217.5</v>
          </cell>
          <cell r="J94">
            <v>35338</v>
          </cell>
          <cell r="K94">
            <v>265</v>
          </cell>
          <cell r="N94">
            <v>35338</v>
          </cell>
          <cell r="O94">
            <v>270</v>
          </cell>
          <cell r="T94">
            <v>35338</v>
          </cell>
          <cell r="U94">
            <v>285</v>
          </cell>
          <cell r="Z94">
            <v>35338</v>
          </cell>
          <cell r="AA94">
            <v>350</v>
          </cell>
          <cell r="AF94">
            <v>35338</v>
          </cell>
          <cell r="AG94">
            <v>340</v>
          </cell>
          <cell r="AL94">
            <v>35338</v>
          </cell>
          <cell r="AM94">
            <v>340</v>
          </cell>
          <cell r="BD94">
            <v>35338</v>
          </cell>
          <cell r="BE94">
            <v>490</v>
          </cell>
        </row>
        <row r="95">
          <cell r="B95">
            <v>35369</v>
          </cell>
          <cell r="C95">
            <v>222.5</v>
          </cell>
          <cell r="F95">
            <v>35369</v>
          </cell>
          <cell r="G95">
            <v>232.5</v>
          </cell>
          <cell r="J95">
            <v>35369</v>
          </cell>
          <cell r="K95">
            <v>260</v>
          </cell>
          <cell r="N95">
            <v>35369</v>
          </cell>
          <cell r="O95">
            <v>272.5</v>
          </cell>
          <cell r="T95">
            <v>35369</v>
          </cell>
          <cell r="U95">
            <v>285</v>
          </cell>
          <cell r="Z95">
            <v>35369</v>
          </cell>
          <cell r="AA95">
            <v>342.5</v>
          </cell>
          <cell r="AF95">
            <v>35369</v>
          </cell>
          <cell r="AG95">
            <v>332.5</v>
          </cell>
          <cell r="AL95">
            <v>35369</v>
          </cell>
          <cell r="AM95">
            <v>332.5</v>
          </cell>
          <cell r="BD95">
            <v>35369</v>
          </cell>
          <cell r="BE95">
            <v>480</v>
          </cell>
        </row>
        <row r="96">
          <cell r="B96">
            <v>35398</v>
          </cell>
          <cell r="C96">
            <v>222.5</v>
          </cell>
          <cell r="F96">
            <v>35398</v>
          </cell>
          <cell r="G96">
            <v>235</v>
          </cell>
          <cell r="J96">
            <v>35398</v>
          </cell>
          <cell r="K96">
            <v>260</v>
          </cell>
          <cell r="N96">
            <v>35398</v>
          </cell>
          <cell r="O96">
            <v>275</v>
          </cell>
          <cell r="T96">
            <v>35398</v>
          </cell>
          <cell r="U96">
            <v>285</v>
          </cell>
          <cell r="Z96">
            <v>35398</v>
          </cell>
          <cell r="AA96">
            <v>342.5</v>
          </cell>
          <cell r="AF96">
            <v>35398</v>
          </cell>
          <cell r="AG96">
            <v>332.5</v>
          </cell>
          <cell r="AL96">
            <v>35398</v>
          </cell>
          <cell r="AM96">
            <v>332.5</v>
          </cell>
          <cell r="BD96">
            <v>35398</v>
          </cell>
          <cell r="BE96">
            <v>480</v>
          </cell>
        </row>
        <row r="97">
          <cell r="B97">
            <v>35430</v>
          </cell>
          <cell r="C97">
            <v>227.5</v>
          </cell>
          <cell r="F97">
            <v>35430</v>
          </cell>
          <cell r="G97">
            <v>235</v>
          </cell>
          <cell r="J97">
            <v>35430</v>
          </cell>
          <cell r="K97">
            <v>260</v>
          </cell>
          <cell r="N97">
            <v>35430</v>
          </cell>
          <cell r="O97">
            <v>280</v>
          </cell>
          <cell r="T97">
            <v>35430</v>
          </cell>
          <cell r="U97">
            <v>285</v>
          </cell>
          <cell r="Z97">
            <v>35430</v>
          </cell>
          <cell r="AA97">
            <v>342.5</v>
          </cell>
          <cell r="AF97">
            <v>35430</v>
          </cell>
          <cell r="AG97">
            <v>332.5</v>
          </cell>
          <cell r="AL97">
            <v>35430</v>
          </cell>
          <cell r="AM97">
            <v>332.5</v>
          </cell>
          <cell r="BD97">
            <v>35430</v>
          </cell>
          <cell r="BE97">
            <v>510</v>
          </cell>
        </row>
        <row r="98">
          <cell r="B98">
            <v>35461</v>
          </cell>
          <cell r="C98">
            <v>227.5</v>
          </cell>
          <cell r="F98">
            <v>35461</v>
          </cell>
          <cell r="G98">
            <v>235</v>
          </cell>
          <cell r="J98">
            <v>35461</v>
          </cell>
          <cell r="K98">
            <v>265</v>
          </cell>
          <cell r="N98">
            <v>35461</v>
          </cell>
          <cell r="O98">
            <v>280</v>
          </cell>
          <cell r="T98">
            <v>35461</v>
          </cell>
          <cell r="U98">
            <v>285</v>
          </cell>
          <cell r="Z98">
            <v>35461</v>
          </cell>
          <cell r="AA98">
            <v>342.5</v>
          </cell>
          <cell r="AF98">
            <v>35461</v>
          </cell>
          <cell r="AG98">
            <v>342.5</v>
          </cell>
          <cell r="AL98">
            <v>35461</v>
          </cell>
          <cell r="AM98">
            <v>342.5</v>
          </cell>
          <cell r="BD98">
            <v>35461</v>
          </cell>
          <cell r="BE98">
            <v>510</v>
          </cell>
        </row>
        <row r="99">
          <cell r="B99">
            <v>35489</v>
          </cell>
          <cell r="C99">
            <v>235</v>
          </cell>
          <cell r="F99">
            <v>35489</v>
          </cell>
          <cell r="G99">
            <v>235</v>
          </cell>
          <cell r="J99">
            <v>35489</v>
          </cell>
          <cell r="K99">
            <v>262.5</v>
          </cell>
          <cell r="N99">
            <v>35489</v>
          </cell>
          <cell r="O99">
            <v>280</v>
          </cell>
          <cell r="T99">
            <v>35489</v>
          </cell>
          <cell r="U99">
            <v>290</v>
          </cell>
          <cell r="Z99">
            <v>35489</v>
          </cell>
          <cell r="AA99">
            <v>282.5</v>
          </cell>
          <cell r="AF99">
            <v>35489</v>
          </cell>
          <cell r="AG99">
            <v>342.5</v>
          </cell>
          <cell r="AL99">
            <v>35489</v>
          </cell>
          <cell r="AM99">
            <v>332.5</v>
          </cell>
          <cell r="BD99">
            <v>35489</v>
          </cell>
          <cell r="BE99">
            <v>480</v>
          </cell>
        </row>
        <row r="100">
          <cell r="B100">
            <v>35520</v>
          </cell>
          <cell r="C100">
            <v>240</v>
          </cell>
          <cell r="F100">
            <v>35520</v>
          </cell>
          <cell r="G100">
            <v>227.5</v>
          </cell>
          <cell r="J100">
            <v>35520</v>
          </cell>
          <cell r="K100">
            <v>275</v>
          </cell>
          <cell r="N100">
            <v>35520</v>
          </cell>
          <cell r="O100">
            <v>280</v>
          </cell>
          <cell r="T100">
            <v>35520</v>
          </cell>
          <cell r="U100">
            <v>285</v>
          </cell>
          <cell r="Z100">
            <v>35520</v>
          </cell>
          <cell r="AA100">
            <v>342.5</v>
          </cell>
          <cell r="AF100">
            <v>35520</v>
          </cell>
          <cell r="AG100">
            <v>352.5</v>
          </cell>
          <cell r="AL100">
            <v>35520</v>
          </cell>
          <cell r="AM100">
            <v>342.5</v>
          </cell>
          <cell r="BD100">
            <v>35520</v>
          </cell>
          <cell r="BE100">
            <v>512.5</v>
          </cell>
        </row>
        <row r="101">
          <cell r="B101">
            <v>35550</v>
          </cell>
          <cell r="C101">
            <v>225</v>
          </cell>
          <cell r="F101">
            <v>35550</v>
          </cell>
          <cell r="G101">
            <v>227.5</v>
          </cell>
          <cell r="J101">
            <v>35550</v>
          </cell>
          <cell r="K101">
            <v>275</v>
          </cell>
          <cell r="N101">
            <v>35550</v>
          </cell>
          <cell r="O101">
            <v>280</v>
          </cell>
          <cell r="T101">
            <v>35550</v>
          </cell>
          <cell r="U101">
            <v>285</v>
          </cell>
          <cell r="Z101">
            <v>35550</v>
          </cell>
          <cell r="AA101">
            <v>342.5</v>
          </cell>
          <cell r="AF101">
            <v>35550</v>
          </cell>
          <cell r="AG101">
            <v>352.5</v>
          </cell>
          <cell r="AL101">
            <v>35550</v>
          </cell>
          <cell r="AM101">
            <v>342.5</v>
          </cell>
          <cell r="BD101">
            <v>35550</v>
          </cell>
          <cell r="BE101">
            <v>512.5</v>
          </cell>
        </row>
        <row r="102">
          <cell r="B102">
            <v>35580</v>
          </cell>
          <cell r="C102">
            <v>227</v>
          </cell>
          <cell r="F102">
            <v>35580</v>
          </cell>
          <cell r="G102">
            <v>240</v>
          </cell>
          <cell r="J102">
            <v>35580</v>
          </cell>
          <cell r="K102">
            <v>275</v>
          </cell>
          <cell r="N102">
            <v>35580</v>
          </cell>
          <cell r="O102">
            <v>297.5</v>
          </cell>
          <cell r="T102">
            <v>35580</v>
          </cell>
          <cell r="U102">
            <v>285</v>
          </cell>
          <cell r="Z102">
            <v>35580</v>
          </cell>
          <cell r="AA102">
            <v>342.5</v>
          </cell>
          <cell r="AF102">
            <v>35580</v>
          </cell>
          <cell r="AG102">
            <v>352.5</v>
          </cell>
          <cell r="AL102">
            <v>35580</v>
          </cell>
          <cell r="AM102">
            <v>342.5</v>
          </cell>
          <cell r="BD102">
            <v>35580</v>
          </cell>
          <cell r="BE102">
            <v>512.5</v>
          </cell>
        </row>
        <row r="103">
          <cell r="B103">
            <v>35611</v>
          </cell>
          <cell r="C103">
            <v>229</v>
          </cell>
          <cell r="F103">
            <v>35611</v>
          </cell>
          <cell r="G103">
            <v>240</v>
          </cell>
          <cell r="J103">
            <v>35611</v>
          </cell>
          <cell r="K103">
            <v>282.5</v>
          </cell>
          <cell r="N103">
            <v>35611</v>
          </cell>
          <cell r="O103">
            <v>308.75</v>
          </cell>
          <cell r="T103">
            <v>35611</v>
          </cell>
          <cell r="U103">
            <v>285</v>
          </cell>
          <cell r="Z103">
            <v>35611</v>
          </cell>
          <cell r="AA103">
            <v>341.25</v>
          </cell>
          <cell r="AF103">
            <v>35611</v>
          </cell>
          <cell r="AG103">
            <v>357.5</v>
          </cell>
          <cell r="AL103">
            <v>35611</v>
          </cell>
          <cell r="AM103">
            <v>347.5</v>
          </cell>
          <cell r="BD103">
            <v>35611</v>
          </cell>
          <cell r="BE103">
            <v>517.5</v>
          </cell>
        </row>
        <row r="104">
          <cell r="B104">
            <v>35642</v>
          </cell>
          <cell r="C104">
            <v>229</v>
          </cell>
          <cell r="F104">
            <v>35642</v>
          </cell>
          <cell r="G104">
            <v>245</v>
          </cell>
          <cell r="J104">
            <v>35642</v>
          </cell>
          <cell r="K104">
            <v>285</v>
          </cell>
          <cell r="N104">
            <v>35642</v>
          </cell>
          <cell r="O104">
            <v>302.5</v>
          </cell>
          <cell r="T104">
            <v>35642</v>
          </cell>
          <cell r="U104">
            <v>0</v>
          </cell>
          <cell r="Z104">
            <v>35642</v>
          </cell>
          <cell r="AA104">
            <v>347.5</v>
          </cell>
          <cell r="AF104">
            <v>35642</v>
          </cell>
          <cell r="AG104">
            <v>357.5</v>
          </cell>
          <cell r="AL104">
            <v>35642</v>
          </cell>
          <cell r="AM104">
            <v>347.5</v>
          </cell>
          <cell r="BD104">
            <v>35642</v>
          </cell>
          <cell r="BE104">
            <v>517.5</v>
          </cell>
        </row>
        <row r="105">
          <cell r="B105">
            <v>35671</v>
          </cell>
          <cell r="C105">
            <v>229</v>
          </cell>
          <cell r="F105">
            <v>35671</v>
          </cell>
          <cell r="G105">
            <v>245</v>
          </cell>
          <cell r="J105">
            <v>35671</v>
          </cell>
          <cell r="K105">
            <v>285</v>
          </cell>
          <cell r="N105">
            <v>35671</v>
          </cell>
          <cell r="O105">
            <v>302.5</v>
          </cell>
          <cell r="T105">
            <v>35671</v>
          </cell>
          <cell r="U105">
            <v>285</v>
          </cell>
          <cell r="Z105">
            <v>35671</v>
          </cell>
          <cell r="AA105">
            <v>347.5</v>
          </cell>
          <cell r="AF105">
            <v>35671</v>
          </cell>
          <cell r="AG105">
            <v>357.5</v>
          </cell>
          <cell r="AL105">
            <v>35671</v>
          </cell>
          <cell r="AM105">
            <v>302.5</v>
          </cell>
          <cell r="BD105">
            <v>35671</v>
          </cell>
          <cell r="BE105">
            <v>517.5</v>
          </cell>
        </row>
        <row r="106">
          <cell r="B106">
            <v>35703</v>
          </cell>
          <cell r="C106">
            <v>229</v>
          </cell>
          <cell r="F106">
            <v>35703</v>
          </cell>
          <cell r="G106">
            <v>260</v>
          </cell>
          <cell r="J106">
            <v>35703</v>
          </cell>
          <cell r="K106">
            <v>285</v>
          </cell>
          <cell r="N106">
            <v>35703</v>
          </cell>
          <cell r="O106">
            <v>302.5</v>
          </cell>
          <cell r="T106">
            <v>35703</v>
          </cell>
          <cell r="U106">
            <v>285</v>
          </cell>
          <cell r="Z106">
            <v>35703</v>
          </cell>
          <cell r="AA106">
            <v>347.5</v>
          </cell>
          <cell r="AF106">
            <v>35703</v>
          </cell>
          <cell r="AG106">
            <v>357.5</v>
          </cell>
          <cell r="AL106">
            <v>35703</v>
          </cell>
          <cell r="AM106">
            <v>347.5</v>
          </cell>
          <cell r="BD106">
            <v>35703</v>
          </cell>
          <cell r="BE106">
            <v>517.5</v>
          </cell>
        </row>
        <row r="107">
          <cell r="B107">
            <v>35734</v>
          </cell>
          <cell r="C107">
            <v>229</v>
          </cell>
          <cell r="F107">
            <v>35734</v>
          </cell>
          <cell r="G107">
            <v>260</v>
          </cell>
          <cell r="J107">
            <v>35734</v>
          </cell>
          <cell r="K107">
            <v>285</v>
          </cell>
          <cell r="N107">
            <v>35734</v>
          </cell>
          <cell r="O107">
            <v>307.5</v>
          </cell>
          <cell r="T107">
            <v>35734</v>
          </cell>
          <cell r="U107">
            <v>285</v>
          </cell>
          <cell r="Z107">
            <v>35734</v>
          </cell>
          <cell r="AA107">
            <v>347.5</v>
          </cell>
          <cell r="AF107">
            <v>35734</v>
          </cell>
          <cell r="AG107">
            <v>355</v>
          </cell>
          <cell r="AL107">
            <v>35734</v>
          </cell>
          <cell r="AM107">
            <v>345</v>
          </cell>
          <cell r="BD107">
            <v>35734</v>
          </cell>
          <cell r="BE107">
            <v>532.5</v>
          </cell>
        </row>
        <row r="108">
          <cell r="B108">
            <v>35762</v>
          </cell>
          <cell r="C108">
            <v>229</v>
          </cell>
          <cell r="F108">
            <v>35762</v>
          </cell>
          <cell r="G108">
            <v>260</v>
          </cell>
          <cell r="J108">
            <v>35762</v>
          </cell>
          <cell r="K108">
            <v>285</v>
          </cell>
          <cell r="N108">
            <v>35762</v>
          </cell>
          <cell r="O108">
            <v>307.5</v>
          </cell>
          <cell r="T108">
            <v>35762</v>
          </cell>
          <cell r="U108">
            <v>285</v>
          </cell>
          <cell r="Z108">
            <v>35762</v>
          </cell>
          <cell r="AA108">
            <v>347.5</v>
          </cell>
          <cell r="AF108">
            <v>35762</v>
          </cell>
          <cell r="AG108">
            <v>355</v>
          </cell>
          <cell r="AL108">
            <v>35762</v>
          </cell>
          <cell r="AM108">
            <v>345</v>
          </cell>
          <cell r="BD108">
            <v>35762</v>
          </cell>
          <cell r="BE108">
            <v>532.5</v>
          </cell>
        </row>
        <row r="109">
          <cell r="B109">
            <v>35795</v>
          </cell>
          <cell r="C109">
            <v>229</v>
          </cell>
          <cell r="F109">
            <v>35795</v>
          </cell>
          <cell r="G109">
            <v>260</v>
          </cell>
          <cell r="J109">
            <v>35795</v>
          </cell>
          <cell r="K109">
            <v>285</v>
          </cell>
          <cell r="N109">
            <v>35795</v>
          </cell>
          <cell r="O109">
            <v>307.5</v>
          </cell>
          <cell r="T109">
            <v>35795</v>
          </cell>
          <cell r="U109">
            <v>285</v>
          </cell>
          <cell r="Z109">
            <v>35795</v>
          </cell>
          <cell r="AA109">
            <v>347.5</v>
          </cell>
          <cell r="AF109">
            <v>35795</v>
          </cell>
          <cell r="AG109">
            <v>355</v>
          </cell>
          <cell r="AL109">
            <v>35795</v>
          </cell>
          <cell r="AM109">
            <v>345</v>
          </cell>
          <cell r="BD109">
            <v>35795</v>
          </cell>
          <cell r="BE109">
            <v>532.5</v>
          </cell>
        </row>
        <row r="110">
          <cell r="B110">
            <v>35825</v>
          </cell>
          <cell r="C110">
            <v>235</v>
          </cell>
          <cell r="F110">
            <v>35825</v>
          </cell>
          <cell r="G110">
            <v>260</v>
          </cell>
          <cell r="J110">
            <v>35825</v>
          </cell>
          <cell r="K110">
            <v>280</v>
          </cell>
          <cell r="N110">
            <v>35825</v>
          </cell>
          <cell r="O110">
            <v>277.5</v>
          </cell>
          <cell r="T110">
            <v>35825</v>
          </cell>
          <cell r="U110">
            <v>282.5</v>
          </cell>
          <cell r="Z110">
            <v>35825</v>
          </cell>
          <cell r="AA110">
            <v>347.5</v>
          </cell>
          <cell r="AF110">
            <v>35825</v>
          </cell>
          <cell r="AG110">
            <v>355</v>
          </cell>
          <cell r="AL110">
            <v>35825</v>
          </cell>
          <cell r="AM110">
            <v>345</v>
          </cell>
          <cell r="BD110">
            <v>35825</v>
          </cell>
          <cell r="BE110">
            <v>532.5</v>
          </cell>
        </row>
        <row r="111">
          <cell r="B111">
            <v>35853</v>
          </cell>
          <cell r="C111">
            <v>235</v>
          </cell>
          <cell r="F111">
            <v>35853</v>
          </cell>
          <cell r="G111">
            <v>260</v>
          </cell>
          <cell r="J111">
            <v>35853</v>
          </cell>
          <cell r="K111">
            <v>280</v>
          </cell>
          <cell r="N111">
            <v>35853</v>
          </cell>
          <cell r="O111">
            <v>277.5</v>
          </cell>
          <cell r="T111">
            <v>35853</v>
          </cell>
          <cell r="U111">
            <v>282.5</v>
          </cell>
          <cell r="Z111">
            <v>35853</v>
          </cell>
          <cell r="AA111">
            <v>347.5</v>
          </cell>
          <cell r="AF111">
            <v>35853</v>
          </cell>
          <cell r="AG111">
            <v>355</v>
          </cell>
          <cell r="AL111">
            <v>35853</v>
          </cell>
          <cell r="AM111">
            <v>335</v>
          </cell>
          <cell r="BD111">
            <v>35853</v>
          </cell>
          <cell r="BE111">
            <v>532.5</v>
          </cell>
        </row>
        <row r="112">
          <cell r="B112">
            <v>35885</v>
          </cell>
          <cell r="C112">
            <v>235</v>
          </cell>
          <cell r="F112">
            <v>35885</v>
          </cell>
          <cell r="G112">
            <v>260</v>
          </cell>
          <cell r="J112">
            <v>35885</v>
          </cell>
          <cell r="K112">
            <v>280</v>
          </cell>
          <cell r="N112">
            <v>35885</v>
          </cell>
          <cell r="O112">
            <v>275</v>
          </cell>
          <cell r="T112">
            <v>35885</v>
          </cell>
          <cell r="U112">
            <v>282.5</v>
          </cell>
          <cell r="Z112">
            <v>35885</v>
          </cell>
          <cell r="AA112">
            <v>347.5</v>
          </cell>
          <cell r="AF112">
            <v>35885</v>
          </cell>
          <cell r="AG112">
            <v>355</v>
          </cell>
          <cell r="AL112">
            <v>35885</v>
          </cell>
          <cell r="AM112">
            <v>345</v>
          </cell>
          <cell r="BD112">
            <v>35885</v>
          </cell>
          <cell r="BE112">
            <v>532.5</v>
          </cell>
        </row>
        <row r="113">
          <cell r="B113">
            <v>35915</v>
          </cell>
          <cell r="C113">
            <v>235</v>
          </cell>
          <cell r="F113">
            <v>35915</v>
          </cell>
          <cell r="G113">
            <v>260</v>
          </cell>
          <cell r="J113">
            <v>35915</v>
          </cell>
          <cell r="K113">
            <v>280</v>
          </cell>
          <cell r="N113">
            <v>35915</v>
          </cell>
          <cell r="O113">
            <v>285</v>
          </cell>
          <cell r="T113">
            <v>35915</v>
          </cell>
          <cell r="U113">
            <v>282.5</v>
          </cell>
          <cell r="Z113">
            <v>35915</v>
          </cell>
          <cell r="AA113">
            <v>347.5</v>
          </cell>
          <cell r="AF113">
            <v>35915</v>
          </cell>
          <cell r="AG113">
            <v>355</v>
          </cell>
          <cell r="AL113">
            <v>35915</v>
          </cell>
          <cell r="AM113">
            <v>335</v>
          </cell>
          <cell r="BD113">
            <v>35915</v>
          </cell>
          <cell r="BE113">
            <v>532.5</v>
          </cell>
        </row>
        <row r="114">
          <cell r="B114">
            <v>35944</v>
          </cell>
          <cell r="C114">
            <v>235</v>
          </cell>
          <cell r="F114">
            <v>35944</v>
          </cell>
          <cell r="G114">
            <v>241.5</v>
          </cell>
          <cell r="J114">
            <v>35944</v>
          </cell>
          <cell r="K114">
            <v>280</v>
          </cell>
          <cell r="N114">
            <v>35944</v>
          </cell>
          <cell r="O114">
            <v>285</v>
          </cell>
          <cell r="T114">
            <v>35944</v>
          </cell>
          <cell r="U114">
            <v>282.5</v>
          </cell>
          <cell r="Z114">
            <v>35944</v>
          </cell>
          <cell r="AA114">
            <v>342.5</v>
          </cell>
          <cell r="AF114">
            <v>35944</v>
          </cell>
          <cell r="AG114">
            <v>345</v>
          </cell>
          <cell r="AL114">
            <v>35944</v>
          </cell>
          <cell r="AM114">
            <v>332.5</v>
          </cell>
          <cell r="BD114">
            <v>35944</v>
          </cell>
          <cell r="BE114">
            <v>532.5</v>
          </cell>
        </row>
        <row r="115">
          <cell r="B115">
            <v>35976</v>
          </cell>
          <cell r="C115">
            <v>230</v>
          </cell>
          <cell r="F115">
            <v>35976</v>
          </cell>
          <cell r="G115">
            <v>235</v>
          </cell>
          <cell r="J115">
            <v>35976</v>
          </cell>
          <cell r="K115">
            <v>277.5</v>
          </cell>
          <cell r="N115">
            <v>35976</v>
          </cell>
          <cell r="O115">
            <v>275</v>
          </cell>
          <cell r="T115">
            <v>35976</v>
          </cell>
          <cell r="U115">
            <v>280</v>
          </cell>
          <cell r="Z115">
            <v>35976</v>
          </cell>
          <cell r="AA115">
            <v>340</v>
          </cell>
          <cell r="AF115">
            <v>35976</v>
          </cell>
          <cell r="AG115">
            <v>342.5</v>
          </cell>
          <cell r="AL115">
            <v>35976</v>
          </cell>
          <cell r="AM115">
            <v>331.25</v>
          </cell>
          <cell r="BD115">
            <v>35976</v>
          </cell>
          <cell r="BE115">
            <v>527.5</v>
          </cell>
        </row>
        <row r="116">
          <cell r="B116">
            <v>36007</v>
          </cell>
          <cell r="C116">
            <v>230</v>
          </cell>
          <cell r="F116">
            <v>36007</v>
          </cell>
          <cell r="G116">
            <v>235</v>
          </cell>
          <cell r="J116">
            <v>36007</v>
          </cell>
          <cell r="K116">
            <v>255</v>
          </cell>
          <cell r="N116">
            <v>36007</v>
          </cell>
          <cell r="O116">
            <v>255</v>
          </cell>
          <cell r="T116">
            <v>36007</v>
          </cell>
          <cell r="U116">
            <v>260</v>
          </cell>
          <cell r="Z116">
            <v>36007</v>
          </cell>
          <cell r="AA116">
            <v>340</v>
          </cell>
          <cell r="AF116">
            <v>36007</v>
          </cell>
          <cell r="AG116">
            <v>342.5</v>
          </cell>
          <cell r="AL116">
            <v>36007</v>
          </cell>
          <cell r="AM116">
            <v>337.5</v>
          </cell>
          <cell r="BD116">
            <v>36007</v>
          </cell>
          <cell r="BE116">
            <v>485</v>
          </cell>
        </row>
        <row r="117">
          <cell r="B117">
            <v>36038</v>
          </cell>
          <cell r="C117">
            <v>225</v>
          </cell>
          <cell r="F117">
            <v>36038</v>
          </cell>
          <cell r="G117">
            <v>200</v>
          </cell>
          <cell r="J117">
            <v>36038</v>
          </cell>
          <cell r="K117">
            <v>255</v>
          </cell>
          <cell r="N117">
            <v>36038</v>
          </cell>
          <cell r="O117">
            <v>255</v>
          </cell>
          <cell r="T117">
            <v>36038</v>
          </cell>
          <cell r="U117">
            <v>260</v>
          </cell>
          <cell r="Z117">
            <v>36038</v>
          </cell>
          <cell r="AA117">
            <v>340</v>
          </cell>
          <cell r="AF117">
            <v>36038</v>
          </cell>
          <cell r="AG117">
            <v>342.5</v>
          </cell>
          <cell r="AL117">
            <v>36038</v>
          </cell>
          <cell r="AM117">
            <v>337.5</v>
          </cell>
          <cell r="BD117">
            <v>36038</v>
          </cell>
          <cell r="BE117">
            <v>485</v>
          </cell>
        </row>
        <row r="118">
          <cell r="B118">
            <v>36068</v>
          </cell>
          <cell r="C118">
            <v>225</v>
          </cell>
          <cell r="F118">
            <v>36068</v>
          </cell>
          <cell r="G118">
            <v>195</v>
          </cell>
          <cell r="J118">
            <v>36068</v>
          </cell>
          <cell r="K118">
            <v>255</v>
          </cell>
          <cell r="N118">
            <v>36068</v>
          </cell>
          <cell r="O118">
            <v>255</v>
          </cell>
          <cell r="T118">
            <v>36068</v>
          </cell>
          <cell r="U118">
            <v>260</v>
          </cell>
          <cell r="Z118">
            <v>36068</v>
          </cell>
          <cell r="AA118">
            <v>340</v>
          </cell>
          <cell r="AF118">
            <v>36068</v>
          </cell>
          <cell r="AG118">
            <v>342.5</v>
          </cell>
          <cell r="AL118">
            <v>36068</v>
          </cell>
          <cell r="AM118">
            <v>337.5</v>
          </cell>
          <cell r="BD118">
            <v>36068</v>
          </cell>
          <cell r="BE118">
            <v>485</v>
          </cell>
        </row>
        <row r="119">
          <cell r="B119">
            <v>36098</v>
          </cell>
          <cell r="C119">
            <v>195</v>
          </cell>
          <cell r="F119">
            <v>36098</v>
          </cell>
          <cell r="G119">
            <v>180</v>
          </cell>
          <cell r="J119">
            <v>36098</v>
          </cell>
          <cell r="K119">
            <v>237.5</v>
          </cell>
          <cell r="N119">
            <v>36098</v>
          </cell>
          <cell r="O119">
            <v>237.5</v>
          </cell>
          <cell r="T119">
            <v>36098</v>
          </cell>
          <cell r="U119">
            <v>250</v>
          </cell>
          <cell r="Z119">
            <v>36098</v>
          </cell>
          <cell r="AA119">
            <v>340</v>
          </cell>
          <cell r="AF119">
            <v>36098</v>
          </cell>
          <cell r="AG119">
            <v>342.5</v>
          </cell>
          <cell r="AL119">
            <v>36098</v>
          </cell>
          <cell r="AM119">
            <v>337.5</v>
          </cell>
          <cell r="BD119">
            <v>36098</v>
          </cell>
          <cell r="BE119">
            <v>430</v>
          </cell>
        </row>
        <row r="120">
          <cell r="B120">
            <v>36129</v>
          </cell>
          <cell r="C120">
            <v>180</v>
          </cell>
          <cell r="F120">
            <v>36129</v>
          </cell>
          <cell r="G120">
            <v>165</v>
          </cell>
          <cell r="J120">
            <v>36129</v>
          </cell>
          <cell r="K120">
            <v>227.5</v>
          </cell>
          <cell r="N120">
            <v>36129</v>
          </cell>
          <cell r="O120">
            <v>227.5</v>
          </cell>
          <cell r="T120">
            <v>36129</v>
          </cell>
          <cell r="U120">
            <v>250</v>
          </cell>
          <cell r="Z120">
            <v>36129</v>
          </cell>
          <cell r="AA120">
            <v>340</v>
          </cell>
          <cell r="AF120">
            <v>36129</v>
          </cell>
          <cell r="AG120">
            <v>342.5</v>
          </cell>
          <cell r="AL120">
            <v>36129</v>
          </cell>
          <cell r="AM120">
            <v>337.5</v>
          </cell>
          <cell r="BD120">
            <v>36129</v>
          </cell>
          <cell r="BE120">
            <v>425</v>
          </cell>
        </row>
        <row r="121">
          <cell r="B121">
            <v>36160</v>
          </cell>
          <cell r="C121">
            <v>170</v>
          </cell>
          <cell r="F121">
            <v>36160</v>
          </cell>
          <cell r="G121">
            <v>165</v>
          </cell>
          <cell r="J121">
            <v>36160</v>
          </cell>
          <cell r="K121">
            <v>227.5</v>
          </cell>
          <cell r="N121">
            <v>36160</v>
          </cell>
          <cell r="O121">
            <v>227.5</v>
          </cell>
          <cell r="T121">
            <v>36160</v>
          </cell>
          <cell r="U121">
            <v>250</v>
          </cell>
          <cell r="Z121">
            <v>36160</v>
          </cell>
          <cell r="AA121">
            <v>335</v>
          </cell>
          <cell r="AF121">
            <v>36160</v>
          </cell>
          <cell r="AG121">
            <v>337.5</v>
          </cell>
          <cell r="AL121">
            <v>36160</v>
          </cell>
          <cell r="AM121">
            <v>330</v>
          </cell>
          <cell r="BD121">
            <v>36160</v>
          </cell>
          <cell r="BE121">
            <v>415</v>
          </cell>
        </row>
        <row r="122">
          <cell r="B122">
            <v>36189</v>
          </cell>
          <cell r="C122">
            <v>165</v>
          </cell>
          <cell r="F122">
            <v>36189</v>
          </cell>
          <cell r="G122">
            <v>165</v>
          </cell>
          <cell r="J122">
            <v>36189</v>
          </cell>
          <cell r="K122">
            <v>227.5</v>
          </cell>
          <cell r="N122">
            <v>36189</v>
          </cell>
          <cell r="O122">
            <v>227.5</v>
          </cell>
          <cell r="T122">
            <v>36189</v>
          </cell>
          <cell r="U122">
            <v>250</v>
          </cell>
          <cell r="Z122">
            <v>36189</v>
          </cell>
          <cell r="AA122">
            <v>302.5</v>
          </cell>
          <cell r="AF122">
            <v>36189</v>
          </cell>
          <cell r="AG122">
            <v>310</v>
          </cell>
          <cell r="AL122">
            <v>36189</v>
          </cell>
          <cell r="AM122">
            <v>305</v>
          </cell>
          <cell r="BD122">
            <v>36189</v>
          </cell>
          <cell r="BE122">
            <v>415</v>
          </cell>
        </row>
        <row r="123">
          <cell r="B123">
            <v>36217</v>
          </cell>
          <cell r="C123">
            <v>155</v>
          </cell>
          <cell r="F123">
            <v>36217</v>
          </cell>
          <cell r="G123">
            <v>150</v>
          </cell>
          <cell r="J123">
            <v>36217</v>
          </cell>
          <cell r="K123">
            <v>227.5</v>
          </cell>
          <cell r="N123">
            <v>36217</v>
          </cell>
          <cell r="O123">
            <v>227.5</v>
          </cell>
          <cell r="T123">
            <v>36217</v>
          </cell>
          <cell r="U123">
            <v>250</v>
          </cell>
          <cell r="Z123">
            <v>36217</v>
          </cell>
          <cell r="AA123">
            <v>302.5</v>
          </cell>
          <cell r="AF123">
            <v>36217</v>
          </cell>
          <cell r="AG123">
            <v>310</v>
          </cell>
          <cell r="AL123">
            <v>36217</v>
          </cell>
          <cell r="AM123">
            <v>305</v>
          </cell>
          <cell r="BD123">
            <v>36217</v>
          </cell>
          <cell r="BE123">
            <v>397.5</v>
          </cell>
        </row>
        <row r="124">
          <cell r="B124">
            <v>36250</v>
          </cell>
          <cell r="C124">
            <v>165</v>
          </cell>
          <cell r="F124">
            <v>36250</v>
          </cell>
          <cell r="G124">
            <v>160</v>
          </cell>
          <cell r="J124">
            <v>36250</v>
          </cell>
          <cell r="K124">
            <v>227.5</v>
          </cell>
          <cell r="N124">
            <v>36250</v>
          </cell>
          <cell r="O124">
            <v>227.5</v>
          </cell>
          <cell r="T124">
            <v>36250</v>
          </cell>
          <cell r="U124">
            <v>250</v>
          </cell>
          <cell r="Z124">
            <v>36250</v>
          </cell>
          <cell r="AA124">
            <v>302.5</v>
          </cell>
          <cell r="AF124">
            <v>36250</v>
          </cell>
          <cell r="AG124">
            <v>305</v>
          </cell>
          <cell r="AL124">
            <v>36250</v>
          </cell>
          <cell r="AM124">
            <v>305</v>
          </cell>
          <cell r="BD124">
            <v>36250</v>
          </cell>
          <cell r="BE124">
            <v>397.5</v>
          </cell>
        </row>
        <row r="125">
          <cell r="B125">
            <v>36280</v>
          </cell>
          <cell r="C125">
            <v>167.5</v>
          </cell>
          <cell r="F125">
            <v>36280</v>
          </cell>
          <cell r="G125">
            <v>162.5</v>
          </cell>
          <cell r="J125">
            <v>36280</v>
          </cell>
          <cell r="K125">
            <v>227.5</v>
          </cell>
          <cell r="N125">
            <v>36280</v>
          </cell>
          <cell r="O125">
            <v>227.5</v>
          </cell>
          <cell r="T125">
            <v>36280</v>
          </cell>
          <cell r="U125">
            <v>250</v>
          </cell>
          <cell r="Z125">
            <v>36280</v>
          </cell>
          <cell r="AA125">
            <v>302.5</v>
          </cell>
          <cell r="AF125">
            <v>36280</v>
          </cell>
          <cell r="AG125">
            <v>305</v>
          </cell>
          <cell r="AL125">
            <v>36280</v>
          </cell>
          <cell r="AM125">
            <v>305</v>
          </cell>
          <cell r="BD125">
            <v>36280</v>
          </cell>
          <cell r="BE125">
            <v>397.5</v>
          </cell>
        </row>
        <row r="126">
          <cell r="B126">
            <v>36311</v>
          </cell>
          <cell r="C126">
            <v>172.5</v>
          </cell>
          <cell r="F126">
            <v>36311</v>
          </cell>
          <cell r="G126">
            <v>170</v>
          </cell>
          <cell r="J126">
            <v>36311</v>
          </cell>
          <cell r="K126">
            <v>227.5</v>
          </cell>
          <cell r="N126">
            <v>36311</v>
          </cell>
          <cell r="O126">
            <v>227.5</v>
          </cell>
          <cell r="T126">
            <v>36311</v>
          </cell>
          <cell r="U126">
            <v>250</v>
          </cell>
          <cell r="Z126">
            <v>36311</v>
          </cell>
          <cell r="AA126">
            <v>302.5</v>
          </cell>
          <cell r="AF126">
            <v>36311</v>
          </cell>
          <cell r="AG126">
            <v>305</v>
          </cell>
          <cell r="AL126">
            <v>36311</v>
          </cell>
          <cell r="AM126">
            <v>305</v>
          </cell>
          <cell r="BD126">
            <v>36311</v>
          </cell>
          <cell r="BE126">
            <v>397.5</v>
          </cell>
        </row>
        <row r="127">
          <cell r="B127">
            <v>36341</v>
          </cell>
          <cell r="C127">
            <v>177.5</v>
          </cell>
          <cell r="F127">
            <v>36341</v>
          </cell>
          <cell r="G127">
            <v>170</v>
          </cell>
          <cell r="J127">
            <v>36341</v>
          </cell>
          <cell r="K127">
            <v>227.5</v>
          </cell>
          <cell r="N127">
            <v>36341</v>
          </cell>
          <cell r="O127">
            <v>227.5</v>
          </cell>
          <cell r="T127">
            <v>36341</v>
          </cell>
          <cell r="U127">
            <v>250</v>
          </cell>
          <cell r="Z127">
            <v>36341</v>
          </cell>
          <cell r="AA127">
            <v>302.5</v>
          </cell>
          <cell r="AF127">
            <v>36341</v>
          </cell>
          <cell r="AG127">
            <v>305</v>
          </cell>
          <cell r="AL127">
            <v>36341</v>
          </cell>
          <cell r="AM127">
            <v>305</v>
          </cell>
          <cell r="BD127">
            <v>36341</v>
          </cell>
          <cell r="BE127">
            <v>397.5</v>
          </cell>
        </row>
        <row r="128">
          <cell r="B128">
            <v>36371</v>
          </cell>
          <cell r="C128">
            <v>182.5</v>
          </cell>
          <cell r="F128">
            <v>36371</v>
          </cell>
          <cell r="G128">
            <v>170</v>
          </cell>
          <cell r="J128">
            <v>36371</v>
          </cell>
          <cell r="K128">
            <v>227.5</v>
          </cell>
          <cell r="N128">
            <v>36371</v>
          </cell>
          <cell r="O128">
            <v>227.5</v>
          </cell>
          <cell r="T128">
            <v>36371</v>
          </cell>
          <cell r="U128">
            <v>250</v>
          </cell>
          <cell r="Z128">
            <v>36371</v>
          </cell>
          <cell r="AA128">
            <v>295</v>
          </cell>
          <cell r="AF128">
            <v>36371</v>
          </cell>
          <cell r="AG128">
            <v>300</v>
          </cell>
          <cell r="AL128">
            <v>36371</v>
          </cell>
          <cell r="AM128">
            <v>300</v>
          </cell>
          <cell r="BD128">
            <v>36371</v>
          </cell>
          <cell r="BE128">
            <v>397.5</v>
          </cell>
        </row>
        <row r="129">
          <cell r="B129">
            <v>36403</v>
          </cell>
          <cell r="C129">
            <v>190</v>
          </cell>
          <cell r="F129">
            <v>36403</v>
          </cell>
          <cell r="G129">
            <v>172.5</v>
          </cell>
          <cell r="J129">
            <v>36403</v>
          </cell>
          <cell r="K129">
            <v>227.5</v>
          </cell>
          <cell r="N129">
            <v>36403</v>
          </cell>
          <cell r="O129">
            <v>227.5</v>
          </cell>
          <cell r="T129">
            <v>36403</v>
          </cell>
          <cell r="U129">
            <v>250</v>
          </cell>
          <cell r="Z129">
            <v>36403</v>
          </cell>
          <cell r="AA129">
            <v>295</v>
          </cell>
          <cell r="AF129">
            <v>36403</v>
          </cell>
          <cell r="AG129">
            <v>300</v>
          </cell>
          <cell r="AL129">
            <v>36403</v>
          </cell>
          <cell r="AM129">
            <v>300</v>
          </cell>
          <cell r="BD129">
            <v>36403</v>
          </cell>
          <cell r="BE129">
            <v>397.5</v>
          </cell>
        </row>
        <row r="130">
          <cell r="B130">
            <v>36433</v>
          </cell>
          <cell r="C130">
            <v>190</v>
          </cell>
          <cell r="F130">
            <v>36433</v>
          </cell>
          <cell r="G130">
            <v>180</v>
          </cell>
          <cell r="J130">
            <v>36433</v>
          </cell>
          <cell r="K130">
            <v>227.5</v>
          </cell>
          <cell r="N130">
            <v>36433</v>
          </cell>
          <cell r="O130">
            <v>227.5</v>
          </cell>
          <cell r="T130">
            <v>36433</v>
          </cell>
          <cell r="U130">
            <v>250</v>
          </cell>
          <cell r="Z130">
            <v>36433</v>
          </cell>
          <cell r="AA130">
            <v>295</v>
          </cell>
          <cell r="AF130">
            <v>36433</v>
          </cell>
          <cell r="AG130">
            <v>300</v>
          </cell>
          <cell r="AL130">
            <v>36433</v>
          </cell>
          <cell r="AM130">
            <v>300</v>
          </cell>
          <cell r="BD130">
            <v>36433</v>
          </cell>
          <cell r="BE130">
            <v>397.5</v>
          </cell>
        </row>
        <row r="131">
          <cell r="B131">
            <v>36462</v>
          </cell>
          <cell r="C131">
            <v>190</v>
          </cell>
          <cell r="F131">
            <v>36462</v>
          </cell>
          <cell r="G131">
            <v>185</v>
          </cell>
          <cell r="J131">
            <v>36462</v>
          </cell>
          <cell r="K131">
            <v>232.5</v>
          </cell>
          <cell r="N131">
            <v>36462</v>
          </cell>
          <cell r="O131">
            <v>217.5</v>
          </cell>
          <cell r="T131">
            <v>36462</v>
          </cell>
          <cell r="U131">
            <v>250</v>
          </cell>
          <cell r="Z131">
            <v>36462</v>
          </cell>
          <cell r="AA131">
            <v>295</v>
          </cell>
          <cell r="AF131">
            <v>36462</v>
          </cell>
          <cell r="AG131">
            <v>300</v>
          </cell>
          <cell r="AL131">
            <v>36462</v>
          </cell>
          <cell r="AM131">
            <v>300</v>
          </cell>
          <cell r="BD131">
            <v>36462</v>
          </cell>
          <cell r="BE131">
            <v>397.5</v>
          </cell>
        </row>
        <row r="132">
          <cell r="B132">
            <v>36494</v>
          </cell>
          <cell r="C132">
            <v>190</v>
          </cell>
          <cell r="F132">
            <v>36494</v>
          </cell>
          <cell r="G132">
            <v>185</v>
          </cell>
          <cell r="J132">
            <v>36494</v>
          </cell>
          <cell r="K132">
            <v>232.5</v>
          </cell>
          <cell r="N132">
            <v>36494</v>
          </cell>
          <cell r="O132">
            <v>217.5</v>
          </cell>
          <cell r="T132">
            <v>36494</v>
          </cell>
          <cell r="U132">
            <v>250</v>
          </cell>
          <cell r="Z132">
            <v>36494</v>
          </cell>
          <cell r="AA132">
            <v>295</v>
          </cell>
          <cell r="AF132">
            <v>36494</v>
          </cell>
          <cell r="AG132">
            <v>300</v>
          </cell>
          <cell r="AL132">
            <v>36494</v>
          </cell>
          <cell r="AM132">
            <v>300</v>
          </cell>
          <cell r="BD132">
            <v>36494</v>
          </cell>
          <cell r="BE132">
            <v>397.5</v>
          </cell>
        </row>
        <row r="133">
          <cell r="B133">
            <v>36525</v>
          </cell>
          <cell r="C133">
            <v>195</v>
          </cell>
          <cell r="F133">
            <v>36525</v>
          </cell>
          <cell r="G133">
            <v>195</v>
          </cell>
          <cell r="J133">
            <v>36525</v>
          </cell>
          <cell r="K133">
            <v>232.5</v>
          </cell>
          <cell r="N133">
            <v>36525</v>
          </cell>
          <cell r="O133">
            <v>217.5</v>
          </cell>
          <cell r="T133">
            <v>36525</v>
          </cell>
          <cell r="U133">
            <v>250</v>
          </cell>
          <cell r="Z133">
            <v>36525</v>
          </cell>
          <cell r="AA133">
            <v>295</v>
          </cell>
          <cell r="AF133">
            <v>36525</v>
          </cell>
          <cell r="AG133">
            <v>300</v>
          </cell>
          <cell r="AL133">
            <v>36525</v>
          </cell>
          <cell r="AM133">
            <v>300</v>
          </cell>
          <cell r="BD133">
            <v>36525</v>
          </cell>
          <cell r="BE133">
            <v>397.5</v>
          </cell>
        </row>
        <row r="134">
          <cell r="B134">
            <v>36556</v>
          </cell>
          <cell r="C134">
            <v>195</v>
          </cell>
          <cell r="F134">
            <v>36556</v>
          </cell>
          <cell r="G134">
            <v>205</v>
          </cell>
          <cell r="J134">
            <v>36556</v>
          </cell>
          <cell r="K134">
            <v>232.5</v>
          </cell>
          <cell r="N134">
            <v>36556</v>
          </cell>
          <cell r="O134">
            <v>220</v>
          </cell>
          <cell r="T134">
            <v>36556</v>
          </cell>
          <cell r="U134">
            <v>250</v>
          </cell>
          <cell r="Z134">
            <v>36556</v>
          </cell>
          <cell r="AA134">
            <v>295</v>
          </cell>
          <cell r="AF134">
            <v>36556</v>
          </cell>
          <cell r="AG134">
            <v>300</v>
          </cell>
          <cell r="AL134">
            <v>36556</v>
          </cell>
          <cell r="AM134">
            <v>300</v>
          </cell>
          <cell r="BD134">
            <v>36556</v>
          </cell>
          <cell r="BE134">
            <v>397.5</v>
          </cell>
        </row>
        <row r="135">
          <cell r="B135">
            <v>36585</v>
          </cell>
          <cell r="C135">
            <v>195</v>
          </cell>
          <cell r="F135">
            <v>36585</v>
          </cell>
          <cell r="G135">
            <v>210</v>
          </cell>
          <cell r="J135">
            <v>36585</v>
          </cell>
          <cell r="K135">
            <v>232.5</v>
          </cell>
          <cell r="N135">
            <v>36585</v>
          </cell>
          <cell r="O135">
            <v>220</v>
          </cell>
          <cell r="T135">
            <v>36585</v>
          </cell>
          <cell r="U135">
            <v>250</v>
          </cell>
          <cell r="Z135">
            <v>36585</v>
          </cell>
          <cell r="AA135">
            <v>295</v>
          </cell>
          <cell r="AF135">
            <v>36585</v>
          </cell>
          <cell r="AG135">
            <v>300</v>
          </cell>
          <cell r="AL135">
            <v>36585</v>
          </cell>
          <cell r="AM135">
            <v>300</v>
          </cell>
          <cell r="BD135">
            <v>36585</v>
          </cell>
          <cell r="BE135">
            <v>420</v>
          </cell>
        </row>
        <row r="136">
          <cell r="B136">
            <v>36616</v>
          </cell>
          <cell r="C136">
            <v>195</v>
          </cell>
          <cell r="F136">
            <v>36616</v>
          </cell>
          <cell r="G136">
            <v>217.5</v>
          </cell>
          <cell r="J136">
            <v>36616</v>
          </cell>
          <cell r="K136">
            <v>232.5</v>
          </cell>
          <cell r="N136">
            <v>36616</v>
          </cell>
          <cell r="O136">
            <v>227.5</v>
          </cell>
          <cell r="T136">
            <v>36616</v>
          </cell>
          <cell r="U136">
            <v>270</v>
          </cell>
          <cell r="Z136">
            <v>36616</v>
          </cell>
          <cell r="AA136">
            <v>295</v>
          </cell>
          <cell r="AF136">
            <v>36616</v>
          </cell>
          <cell r="AG136">
            <v>300</v>
          </cell>
          <cell r="AL136">
            <v>36616</v>
          </cell>
          <cell r="AM136">
            <v>300</v>
          </cell>
          <cell r="BD136">
            <v>36616</v>
          </cell>
          <cell r="BE136">
            <v>445</v>
          </cell>
        </row>
        <row r="137">
          <cell r="B137">
            <v>36644</v>
          </cell>
          <cell r="C137">
            <v>195</v>
          </cell>
          <cell r="F137">
            <v>36644</v>
          </cell>
          <cell r="G137">
            <v>217.5</v>
          </cell>
          <cell r="J137">
            <v>36644</v>
          </cell>
          <cell r="K137">
            <v>232.5</v>
          </cell>
          <cell r="N137">
            <v>36644</v>
          </cell>
          <cell r="O137">
            <v>227.5</v>
          </cell>
          <cell r="T137">
            <v>36644</v>
          </cell>
          <cell r="U137">
            <v>270</v>
          </cell>
          <cell r="Z137">
            <v>36644</v>
          </cell>
          <cell r="AA137">
            <v>300</v>
          </cell>
          <cell r="AF137">
            <v>36644</v>
          </cell>
          <cell r="AG137">
            <v>320</v>
          </cell>
          <cell r="AL137">
            <v>36644</v>
          </cell>
          <cell r="AM137">
            <v>320</v>
          </cell>
          <cell r="BD137">
            <v>36644</v>
          </cell>
          <cell r="BE137">
            <v>455</v>
          </cell>
        </row>
        <row r="138">
          <cell r="B138">
            <v>36677</v>
          </cell>
          <cell r="C138">
            <v>195</v>
          </cell>
          <cell r="F138">
            <v>36677</v>
          </cell>
          <cell r="G138">
            <v>230</v>
          </cell>
          <cell r="J138">
            <v>36677</v>
          </cell>
          <cell r="K138">
            <v>232.5</v>
          </cell>
          <cell r="N138">
            <v>36677</v>
          </cell>
          <cell r="O138">
            <v>227.5</v>
          </cell>
          <cell r="T138">
            <v>36677</v>
          </cell>
          <cell r="U138">
            <v>270</v>
          </cell>
          <cell r="Z138">
            <v>36677</v>
          </cell>
          <cell r="AA138">
            <v>300</v>
          </cell>
          <cell r="AF138">
            <v>36677</v>
          </cell>
          <cell r="AG138">
            <v>320</v>
          </cell>
          <cell r="AL138">
            <v>36677</v>
          </cell>
          <cell r="AM138">
            <v>320</v>
          </cell>
          <cell r="BD138">
            <v>36677</v>
          </cell>
          <cell r="BE138">
            <v>455</v>
          </cell>
        </row>
        <row r="139">
          <cell r="B139">
            <v>36707</v>
          </cell>
          <cell r="C139">
            <v>195</v>
          </cell>
          <cell r="F139">
            <v>36707</v>
          </cell>
          <cell r="G139">
            <v>231</v>
          </cell>
          <cell r="J139">
            <v>36707</v>
          </cell>
          <cell r="K139">
            <v>232.5</v>
          </cell>
          <cell r="N139">
            <v>36707</v>
          </cell>
          <cell r="O139">
            <v>227.5</v>
          </cell>
          <cell r="T139">
            <v>36707</v>
          </cell>
          <cell r="U139">
            <v>270</v>
          </cell>
          <cell r="Z139">
            <v>36707</v>
          </cell>
          <cell r="AA139">
            <v>300</v>
          </cell>
          <cell r="AF139">
            <v>36707</v>
          </cell>
          <cell r="AG139">
            <v>320</v>
          </cell>
          <cell r="AL139">
            <v>36707</v>
          </cell>
          <cell r="AM139">
            <v>320</v>
          </cell>
          <cell r="BD139">
            <v>36707</v>
          </cell>
          <cell r="BE139">
            <v>455</v>
          </cell>
        </row>
        <row r="140">
          <cell r="B140">
            <v>36738</v>
          </cell>
          <cell r="C140">
            <v>195</v>
          </cell>
          <cell r="F140">
            <v>36738</v>
          </cell>
          <cell r="G140">
            <v>222.5</v>
          </cell>
          <cell r="J140">
            <v>36738</v>
          </cell>
          <cell r="K140">
            <v>232.5</v>
          </cell>
          <cell r="N140">
            <v>36738</v>
          </cell>
          <cell r="O140">
            <v>227.5</v>
          </cell>
          <cell r="T140">
            <v>36738</v>
          </cell>
          <cell r="U140">
            <v>270</v>
          </cell>
          <cell r="Z140">
            <v>36738</v>
          </cell>
          <cell r="AA140">
            <v>300</v>
          </cell>
          <cell r="AF140">
            <v>36738</v>
          </cell>
          <cell r="AG140">
            <v>320</v>
          </cell>
          <cell r="AL140">
            <v>36738</v>
          </cell>
          <cell r="AM140">
            <v>320</v>
          </cell>
          <cell r="BD140">
            <v>36738</v>
          </cell>
          <cell r="BE140">
            <v>455</v>
          </cell>
        </row>
        <row r="141">
          <cell r="B141">
            <v>36769</v>
          </cell>
          <cell r="C141">
            <v>195</v>
          </cell>
          <cell r="F141">
            <v>36769</v>
          </cell>
          <cell r="G141">
            <v>222.5</v>
          </cell>
          <cell r="J141">
            <v>36769</v>
          </cell>
          <cell r="K141">
            <v>232.5</v>
          </cell>
          <cell r="N141">
            <v>36769</v>
          </cell>
          <cell r="O141">
            <v>227.5</v>
          </cell>
          <cell r="T141">
            <v>36769</v>
          </cell>
          <cell r="U141">
            <v>270</v>
          </cell>
          <cell r="Z141">
            <v>36769</v>
          </cell>
          <cell r="AA141">
            <v>300</v>
          </cell>
          <cell r="AF141">
            <v>36769</v>
          </cell>
          <cell r="AG141">
            <v>320</v>
          </cell>
          <cell r="AL141">
            <v>36769</v>
          </cell>
          <cell r="AM141">
            <v>320</v>
          </cell>
          <cell r="BD141">
            <v>36769</v>
          </cell>
          <cell r="BE141">
            <v>455</v>
          </cell>
        </row>
        <row r="142">
          <cell r="B142">
            <v>36798</v>
          </cell>
          <cell r="C142">
            <v>180</v>
          </cell>
          <cell r="F142">
            <v>36798</v>
          </cell>
          <cell r="G142">
            <v>205</v>
          </cell>
          <cell r="J142">
            <v>36798</v>
          </cell>
          <cell r="K142">
            <v>215</v>
          </cell>
          <cell r="N142">
            <v>36798</v>
          </cell>
          <cell r="O142">
            <v>212.5</v>
          </cell>
          <cell r="T142">
            <v>36798</v>
          </cell>
          <cell r="U142">
            <v>250</v>
          </cell>
          <cell r="Z142">
            <v>36798</v>
          </cell>
          <cell r="AA142">
            <v>272.5</v>
          </cell>
          <cell r="AF142">
            <v>36798</v>
          </cell>
          <cell r="AG142">
            <v>295</v>
          </cell>
          <cell r="AL142">
            <v>36798</v>
          </cell>
          <cell r="AM142">
            <v>295</v>
          </cell>
          <cell r="BD142">
            <v>36798</v>
          </cell>
          <cell r="BE142">
            <v>445</v>
          </cell>
        </row>
        <row r="150">
          <cell r="B150">
            <v>37042</v>
          </cell>
          <cell r="J150">
            <v>37042</v>
          </cell>
          <cell r="AL150">
            <v>37042</v>
          </cell>
        </row>
        <row r="154">
          <cell r="U154">
            <v>247.5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BROILER players"/>
      <sheetName val="main TURKEY players"/>
      <sheetName val="main POULTRY players"/>
      <sheetName val="main PORK players"/>
      <sheetName val="4 pan aves"/>
      <sheetName val="4a pan suinos"/>
      <sheetName val="6 des aves"/>
      <sheetName val="7 des suinos"/>
      <sheetName val="aves por destino"/>
      <sheetName val="suinos por destino"/>
      <sheetName val="resumo 1ºTRI"/>
      <sheetName val="carnes historico"/>
      <sheetName val="preços milho-soja"/>
      <sheetName val="milho e soja BRA"/>
      <sheetName val="milho e soja EUA"/>
      <sheetName val="historico mensal fechamen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is"/>
      <sheetName val="LS+"/>
      <sheetName val="LS"/>
      <sheetName val="Italia"/>
      <sheetName val="Cons Agro"/>
      <sheetName val="Calculos"/>
      <sheetName val="PL"/>
      <sheetName val="Plan1"/>
      <sheetName val="Participações"/>
      <sheetName val="Balance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G_LANGUE"/>
      <sheetName val="Orça 2002"/>
      <sheetName val="VALIDAÇÃO"/>
      <sheetName val="base"/>
      <sheetName val="DEMONSTRAÇÃO_DE_RESULTADOS"/>
      <sheetName val="Macro1"/>
      <sheetName val="dre_acum_mensal"/>
      <sheetName val="Orça_2002"/>
      <sheetName val="Dados"/>
      <sheetName val="Empresas"/>
      <sheetName val="Resumo"/>
      <sheetName val="sc02"/>
      <sheetName val="Orça_20021"/>
      <sheetName val="Plan1"/>
    </sheetNames>
    <sheetDataSet>
      <sheetData sheetId="0" refreshError="1">
        <row r="2">
          <cell r="A2">
            <v>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DotNotation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3">
  <rv s="0">
    <v>https://www.bing.com/financeapi/forcetrigger?t=bwfbr7&amp;q=BVMF%3aTFCO4&amp;form=skydnc</v>
    <v>Learn more on Bing</v>
  </rv>
  <rv s="1">
    <v>pt-BR</v>
    <v>bwfbr7</v>
    <v>268435456</v>
    <v>1</v>
    <v>Da plataforma Refinitiv</v>
    <v>0</v>
    <v>1</v>
    <v>Track &amp; Field Co S.A (BVMF:TFCO4)</v>
    <v>3</v>
    <v>4</v>
    <v>Finance</v>
    <v>5</v>
    <v>18.18</v>
    <v>13.52</v>
    <v>BVMF</v>
    <v>65492860</v>
    <v>15.62</v>
    <v>1988</v>
    <v>15.01</v>
    <v>0.92349999999999999</v>
    <v>B3 - Brazil Stock Exchange</v>
    <v>983047828</v>
    <v>Track &amp; Field SA Co, anteriormente Fratex Industria e Comercio Ltda é uma empresa brasileira com atividades no setor de vestuário. A Companhia atua em um segmento de negócios, que está subdividido em: Varejo, Bens para Franquias, Royalties e Eventos. O portfólio da Track &amp; Field inclui coleções com vestuário atlético, estilo de vida, roupa de praia, calçado e acessórios. Os produtos da Track&amp;Field são vendidos exclusivamente em lojas físicas (mais de 350 lojas) e através de plataformas de e-commerce. A oferta da Companhia também inclui a plataforma TFSports, que oferece aulas gratuitas e corridas online. Track &amp; Field SA Co participa ativamente em todo o processo de produção através do desenvolvimento de peças, pilotagem, compra de materiais, auditoria, controle de qualidade, e visitas técnicas.</v>
    <v>BVMF</v>
    <v>15.34</v>
    <v>1145</v>
    <v>46206.958333333336</v>
    <v>0</v>
    <v>454480</v>
    <v>BRL</v>
    <v>Track &amp; Field Co S.A</v>
    <v>Track &amp; Field Co S.A</v>
    <v>15.39</v>
    <v>15.01</v>
    <v>Rua Cipriano Barata, 456, Andar 3, Ipiranga, SAO PAULO, SAO PAULO, 04.205-000 BR</v>
    <v>Specialty Retailers</v>
    <v>TFCO4</v>
    <v>Ações</v>
    <v>Track &amp; Field Co S.A (BVMF:TFCO4)</v>
    <v>-0.33</v>
    <v>-2.1511999999999996E-2</v>
    <v>315200</v>
  </rv>
  <rv s="2">
    <v>1</v>
  </rv>
</rvData>
</file>

<file path=xl/richData/rdrichvaluestructure.xml><?xml version="1.0" encoding="utf-8"?>
<rvStructures xmlns="http://schemas.microsoft.com/office/spreadsheetml/2017/richdata" count="3">
  <s t="_hyperlink">
    <k n="Address" t="s"/>
    <k n="Text" t="s"/>
  </s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52 semanas de alta"/>
    <k n="52 semanas de baixa"/>
    <k n="Abreviatura do câmbio" t="s"/>
    <k n="Ações em circulação"/>
    <k n="Alto"/>
    <k n="Ano de incorporação"/>
    <k n="Baixo"/>
    <k n="Beta"/>
    <k n="Bolsa" t="s"/>
    <k n="Capitalização de mercado"/>
    <k n="Descrição" t="s"/>
    <k n="ExchangeID" t="s"/>
    <k n="Fechamento anterior"/>
    <k n="Funcionários"/>
    <k n="Hora da última transação"/>
    <k n="LearnMoreOnLink" t="r"/>
    <k n="Média de volume"/>
    <k n="Moeda" t="s"/>
    <k n="Nome" t="s"/>
    <k n="Nome oficial" t="s"/>
    <k n="Pendência"/>
    <k n="Preço"/>
    <k n="Sede" t="s"/>
    <k n="Setor" t="s"/>
    <k n="Símbolo do ticker" t="s"/>
    <k n="Tipo de instrumento" t="s"/>
    <k n="UniqueName" t="s"/>
    <k n="Variação"/>
    <k n="Variação (%)"/>
    <k n="Volume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42">
      <v t="s">%EntityServiceId</v>
      <v t="s">_Format</v>
      <v t="s">%IsRefreshable</v>
      <v t="s">_CanonicalPropertyNames</v>
      <v t="s">%EntityCulture</v>
      <v t="s">%EntityId</v>
      <v t="s">_Icon</v>
      <v t="s">_Display</v>
      <v t="s">Nome</v>
      <v t="s">_SubLabel</v>
      <v t="s">Preço</v>
      <v t="s">Bolsa</v>
      <v t="s">Nome oficial</v>
      <v t="s">Hora da última transação</v>
      <v t="s">Símbolo do ticker</v>
      <v t="s">Abreviatura do câmbio</v>
      <v t="s">Variação</v>
      <v t="s">Variação (%)</v>
      <v t="s">Moeda</v>
      <v t="s">Fechamento anterior</v>
      <v t="s">Pendência</v>
      <v t="s">Alto</v>
      <v t="s">Baixo</v>
      <v t="s">52 semanas de alta</v>
      <v t="s">52 semanas de baixa</v>
      <v t="s">Volume</v>
      <v t="s">Média de volume</v>
      <v t="s">Capitalização de mercado</v>
      <v t="s">Beta</v>
      <v t="s">Ações em circulação</v>
      <v t="s">Descrição</v>
      <v t="s">Funcionários</v>
      <v t="s">Sede</v>
      <v t="s">Setor</v>
      <v t="s">Tipo de instrumento</v>
      <v t="s">Ano de incorporação</v>
      <v t="s">_Flags</v>
      <v t="s">UniqueName</v>
      <v t="s">_DisplayString</v>
      <v t="s">LearnMoreOnLink</v>
      <v t="s">ExchangeID</v>
      <v t="s">%ProviderInfo</v>
    </a>
  </spbArrays>
  <spbData count="6">
    <spb s="0">
      <v>High</v>
      <v>Beta</v>
      <v>Name</v>
      <v>Headquarters</v>
      <v>Low</v>
      <v>Exchange</v>
      <v>Currency</v>
      <v>Price</v>
      <v>Industry</v>
      <v>Volume</v>
      <v>Change</v>
      <v>Description</v>
      <v>Open</v>
      <v>ExchangeID</v>
      <v>UniqueName</v>
      <v>Employees</v>
      <v>Official name</v>
      <v>Change (%)</v>
      <v>%ProviderInfo</v>
      <v>LearnMoreOnLink</v>
      <v>Volume average</v>
      <v>Ticker symbol</v>
      <v>52 week high</v>
      <v>52 week low</v>
      <v>Year incorporated</v>
      <v>Shares outstanding</v>
      <v>Previous close</v>
      <v>Instrument type</v>
      <v>Exchange abbreviation</v>
      <v>Market cap</v>
      <v>Last trade time</v>
    </spb>
    <spb s="1">
      <v>0</v>
      <v>Name</v>
      <v>LearnMoreOnLink</v>
    </spb>
    <spb s="2">
      <v>0</v>
      <v>0</v>
      <v>0</v>
    </spb>
    <spb s="3">
      <v>2</v>
      <v>2</v>
      <v>2</v>
      <v>2</v>
    </spb>
    <spb s="4">
      <v>1</v>
      <v>2</v>
      <v>3</v>
      <v>1</v>
      <v>1</v>
      <v>4</v>
      <v>1</v>
      <v>1</v>
      <v>4</v>
      <v>5</v>
      <v>4</v>
      <v>6</v>
      <v>1</v>
      <v>1</v>
      <v>7</v>
      <v>4</v>
      <v>1</v>
      <v>8</v>
      <v>9</v>
    </spb>
    <spb s="5">
      <v>Atraso de 30 minutos</v>
      <v xml:space="preserve">do fechamento anterior </v>
      <v xml:space="preserve">do fechamento anterior </v>
      <v>GMT</v>
    </spb>
  </spbData>
</supportingPropertyBags>
</file>

<file path=xl/richData/rdsupportingpropertybagstructure.xml><?xml version="1.0" encoding="utf-8"?>
<spbStructures xmlns="http://schemas.microsoft.com/office/spreadsheetml/2017/richdata2" count="6">
  <s>
    <k n="Alto" t="s"/>
    <k n="Beta" t="s"/>
    <k n="Nome" t="s"/>
    <k n="Sede" t="s"/>
    <k n="Baixo" t="s"/>
    <k n="Bolsa" t="s"/>
    <k n="Moeda" t="s"/>
    <k n="Preço" t="s"/>
    <k n="Setor" t="s"/>
    <k n="Volume" t="s"/>
    <k n="Variação" t="s"/>
    <k n="Descrição" t="s"/>
    <k n="Pendência" t="s"/>
    <k n="ExchangeID" t="s"/>
    <k n="UniqueName" t="s"/>
    <k n="Funcionários" t="s"/>
    <k n="Nome oficial" t="s"/>
    <k n="Variação (%)" t="s"/>
    <k n="%ProviderInfo" t="s"/>
    <k n="LearnMoreOnLink" t="s"/>
    <k n="Média de volume" t="s"/>
    <k n="Símbolo do ticker" t="s"/>
    <k n="52 semanas de alta" t="s"/>
    <k n="52 semanas de baixa" t="s"/>
    <k n="Ano de incorporação" t="s"/>
    <k n="Ações em circulação" t="s"/>
    <k n="Fechamento anterior" t="s"/>
    <k n="Tipo de instrumento" t="s"/>
    <k n="Abreviatura do câmbio" t="s"/>
    <k n="Capitalização de mercado" t="s"/>
    <k n="Hora da última transação" t="s"/>
  </s>
  <s>
    <k n="^Order" t="spba"/>
    <k n="TitleProperty" t="s"/>
    <k n="SubTitleProperty" t="s"/>
  </s>
  <s>
    <k n="ShowInCardView" t="b"/>
    <k n="ShowInDotNotation" t="b"/>
    <k n="ShowInAutoComplete" t="b"/>
  </s>
  <s>
    <k n="ExchangeID" t="spb"/>
    <k n="UniqueName" t="spb"/>
    <k n="`%ProviderInfo" t="spb"/>
    <k n="LearnMoreOnLink" t="spb"/>
  </s>
  <s>
    <k n="Alto" t="i"/>
    <k n="Beta" t="i"/>
    <k n="Nome" t="i"/>
    <k n="Baixo" t="i"/>
    <k n="Preço" t="i"/>
    <k n="Volume" t="i"/>
    <k n="Variação" t="i"/>
    <k n="Pendência" t="i"/>
    <k n="Funcionários" t="i"/>
    <k n="Variação (%)" t="i"/>
    <k n="Média de volume" t="i"/>
    <k n="`%EntityServiceId" t="i"/>
    <k n="52 semanas de alta" t="i"/>
    <k n="52 semanas de baixa" t="i"/>
    <k n="Ano de incorporação" t="i"/>
    <k n="Ações em circulação" t="i"/>
    <k n="Fechamento anterior" t="i"/>
    <k n="Capitalização de mercado" t="i"/>
    <k n="Hora da última transação" t="i"/>
  </s>
  <s>
    <k n="Preço" t="s"/>
    <k n="Variação" t="s"/>
    <k n="Variação (%)" t="s"/>
    <k n="Hora da última transação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7">
    <x:dxf>
      <x:numFmt numFmtId="0" formatCode="General"/>
    </x:dxf>
    <x:dxf>
      <x:numFmt numFmtId="4" formatCode="#,##0.00"/>
    </x:dxf>
    <x:dxf>
      <x:numFmt numFmtId="3" formatCode="#,##0"/>
    </x:dxf>
    <x:dxf>
      <x:numFmt numFmtId="14" formatCode="0.00%"/>
    </x:dxf>
    <x:dxf>
      <x:numFmt numFmtId="27" formatCode="dd/mm/yyyy\ hh:mm"/>
    </x:dxf>
    <x:dxf>
      <x:numFmt numFmtId="1" formatCode="0"/>
    </x:dxf>
    <x:dxf>
      <x:numFmt numFmtId="2" formatCode="0.00"/>
    </x:dxf>
  </dxfs>
  <richProperties>
    <rPr n="NumberFormat" t="s"/>
    <rPr n="IsTitleField" t="b"/>
  </richProperties>
  <richStyles>
    <rSty dxfid="0">
      <rpv i="0">_-[$R$-pt-BR] * #,##0.00_-;-[$R$-pt-BR] * #,##0.00_-;_-[$R$-pt-BR] * "-"??_-;_-@_-</rpv>
    </rSty>
    <rSty dxfid="1">
      <rpv i="0">#,##0.00</rpv>
    </rSty>
    <rSty>
      <rpv i="1">1</rpv>
    </rSty>
    <rSty dxfid="2">
      <rpv i="0">#,##0</rpv>
    </rSty>
    <rSty dxfid="3"/>
    <rSty dxfid="6">
      <rpv i="0">0.00</rpv>
    </rSty>
    <rSty dxfid="5">
      <rpv i="0">0</rpv>
    </rSty>
    <rSty dxfid="0">
      <rpv i="0">_-[$R$-pt-BR] * #,##0_-;-[$R$-pt-BR] * #,##0_-;_-[$R$-pt-BR] * "-"_-;_-@_-</rpv>
    </rSty>
    <rSty dxfid="4"/>
  </richStyles>
</richStyleSheet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76" row="6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4D1CAB7-234A-4777-8943-A7CAEB72D12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4179ae5-3569-40fa-86e6-41b97267ee48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A1422531-DF2C-4C55-9B88-2C8B12A07F15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aa3e0939-2456-409e-8e7a-7aaf754c632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40CFC-054A-4B37-8BE5-695CC163CA4A}">
  <sheetPr>
    <tabColor theme="7" tint="0.79998168889431442"/>
  </sheetPr>
  <dimension ref="B1:AG74"/>
  <sheetViews>
    <sheetView showGridLines="0" tabSelected="1" zoomScaleNormal="100" workbookViewId="0">
      <selection activeCell="I14" sqref="I14"/>
    </sheetView>
  </sheetViews>
  <sheetFormatPr defaultColWidth="8.88671875" defaultRowHeight="16.2" customHeight="1" x14ac:dyDescent="0.3"/>
  <cols>
    <col min="1" max="2" width="3.33203125" style="124" customWidth="1"/>
    <col min="3" max="3" width="35.77734375" style="124" customWidth="1"/>
    <col min="4" max="15" width="12.77734375" style="124" customWidth="1"/>
    <col min="16" max="18" width="10.6640625" style="124" customWidth="1"/>
    <col min="19" max="19" width="11.6640625" style="124" customWidth="1"/>
    <col min="20" max="16384" width="8.88671875" style="124"/>
  </cols>
  <sheetData>
    <row r="1" spans="2:33" ht="16.2" customHeight="1" x14ac:dyDescent="0.3">
      <c r="M1" s="125"/>
      <c r="N1" s="126"/>
      <c r="O1" s="126"/>
      <c r="P1" s="126"/>
      <c r="Q1" s="127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</row>
    <row r="2" spans="2:33" ht="16.2" customHeight="1" x14ac:dyDescent="0.3">
      <c r="M2" s="129"/>
      <c r="N2" s="130"/>
      <c r="O2" s="130"/>
      <c r="P2" s="130"/>
      <c r="Q2" s="128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</row>
    <row r="3" spans="2:33" ht="16.2" customHeight="1" x14ac:dyDescent="0.3">
      <c r="C3" s="197" t="e" vm="1">
        <v>#VALUE!</v>
      </c>
      <c r="D3" s="198"/>
      <c r="F3" s="197" t="s">
        <v>295</v>
      </c>
      <c r="G3" s="198"/>
      <c r="I3" s="197" t="s">
        <v>296</v>
      </c>
      <c r="J3" s="201"/>
      <c r="K3" s="198"/>
      <c r="M3" s="129"/>
      <c r="N3" s="130"/>
      <c r="O3" s="130"/>
      <c r="P3" s="130"/>
      <c r="Q3" s="128"/>
      <c r="R3" s="130"/>
      <c r="S3" s="130"/>
      <c r="T3" s="130"/>
      <c r="U3" s="130"/>
      <c r="V3" s="130"/>
      <c r="W3" s="130"/>
      <c r="X3" s="130"/>
      <c r="Y3" s="127"/>
      <c r="Z3" s="127"/>
      <c r="AA3" s="127"/>
      <c r="AB3" s="127"/>
      <c r="AC3" s="127"/>
      <c r="AD3" s="127"/>
      <c r="AE3" s="129"/>
      <c r="AF3" s="129"/>
      <c r="AG3" s="129"/>
    </row>
    <row r="4" spans="2:33" ht="16.2" customHeight="1" x14ac:dyDescent="0.3">
      <c r="C4" s="199"/>
      <c r="D4" s="200"/>
      <c r="F4" s="199"/>
      <c r="G4" s="200"/>
      <c r="I4" s="131" t="s">
        <v>297</v>
      </c>
      <c r="J4" s="133" t="s">
        <v>298</v>
      </c>
      <c r="K4" s="132" t="s">
        <v>299</v>
      </c>
      <c r="M4" s="129"/>
      <c r="N4" s="130"/>
      <c r="O4" s="130"/>
      <c r="P4" s="130"/>
      <c r="Q4" s="128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34"/>
      <c r="AF4" s="134"/>
      <c r="AG4" s="134"/>
    </row>
    <row r="5" spans="2:33" ht="16.2" customHeight="1" x14ac:dyDescent="0.3">
      <c r="B5" s="135"/>
      <c r="C5" s="136" t="s">
        <v>310</v>
      </c>
      <c r="D5" s="165">
        <f>153000</f>
        <v>153000</v>
      </c>
      <c r="E5" s="135"/>
      <c r="F5" s="137" t="s">
        <v>297</v>
      </c>
      <c r="G5" s="138">
        <v>0.14000000000000001</v>
      </c>
      <c r="I5" s="139">
        <f>I6-1%</f>
        <v>0.13</v>
      </c>
      <c r="J5" s="140">
        <f ca="1">SUM(E28:O28)/D5*1000</f>
        <v>22.037683481159924</v>
      </c>
      <c r="K5" s="141">
        <f ca="1">J5/D6-1</f>
        <v>0.46820009867820955</v>
      </c>
      <c r="M5" s="129"/>
      <c r="N5" s="130"/>
      <c r="O5" s="130"/>
      <c r="P5" s="130"/>
      <c r="Q5" s="128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7"/>
      <c r="AE5" s="134"/>
      <c r="AF5" s="134"/>
      <c r="AG5" s="134"/>
    </row>
    <row r="6" spans="2:33" ht="16.2" customHeight="1" x14ac:dyDescent="0.3">
      <c r="B6" s="135"/>
      <c r="C6" s="136" t="s">
        <v>300</v>
      </c>
      <c r="D6" s="142" cm="1">
        <f t="array" aca="1" ref="D6" ca="1">_FV(C3,"Preço")</f>
        <v>15.01</v>
      </c>
      <c r="E6" s="135"/>
      <c r="F6" s="143" t="s">
        <v>301</v>
      </c>
      <c r="G6" s="144">
        <v>0.05</v>
      </c>
      <c r="I6" s="145">
        <f>G5</f>
        <v>0.14000000000000001</v>
      </c>
      <c r="J6" s="146">
        <f ca="1">(SUM(E25:O25)/D5)*1000</f>
        <v>19.141141708308556</v>
      </c>
      <c r="K6" s="147">
        <f ca="1">J6/D6-1</f>
        <v>0.27522596324507376</v>
      </c>
      <c r="M6" s="129"/>
      <c r="N6" s="130"/>
      <c r="O6" s="130"/>
      <c r="P6" s="130"/>
      <c r="Q6" s="128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  <c r="AD6" s="127"/>
      <c r="AE6" s="134"/>
      <c r="AF6" s="134"/>
      <c r="AG6" s="134"/>
    </row>
    <row r="7" spans="2:33" ht="16.2" customHeight="1" x14ac:dyDescent="0.3">
      <c r="B7" s="135"/>
      <c r="C7" s="148" t="s">
        <v>311</v>
      </c>
      <c r="D7" s="166">
        <f ca="1">D5*D6</f>
        <v>2296530</v>
      </c>
      <c r="E7" s="135"/>
      <c r="I7" s="149">
        <f>I6+1%</f>
        <v>0.15000000000000002</v>
      </c>
      <c r="J7" s="150">
        <f ca="1">SUM(E27:O27)/D5*1000</f>
        <v>16.856774305946509</v>
      </c>
      <c r="K7" s="151">
        <f ca="1">J7/D6-1</f>
        <v>0.12303626288784208</v>
      </c>
      <c r="M7" s="129"/>
      <c r="N7" s="130"/>
      <c r="O7" s="130"/>
      <c r="P7" s="130"/>
      <c r="Q7" s="128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34"/>
      <c r="AF7" s="134"/>
      <c r="AG7" s="134"/>
    </row>
    <row r="8" spans="2:33" ht="16.2" customHeight="1" x14ac:dyDescent="0.3">
      <c r="B8" s="135"/>
      <c r="C8" s="135"/>
      <c r="D8" s="135"/>
      <c r="E8" s="135"/>
      <c r="M8" s="129"/>
      <c r="N8" s="130"/>
      <c r="O8" s="130"/>
      <c r="P8" s="130"/>
      <c r="Q8" s="128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34"/>
      <c r="AF8" s="134"/>
      <c r="AG8" s="134"/>
    </row>
    <row r="9" spans="2:33" ht="16.2" customHeight="1" x14ac:dyDescent="0.3">
      <c r="Q9" s="128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F9" s="134"/>
      <c r="AG9" s="134"/>
    </row>
    <row r="10" spans="2:33" ht="16.2" customHeight="1" x14ac:dyDescent="0.3">
      <c r="C10" s="180" t="s">
        <v>302</v>
      </c>
      <c r="D10" s="180"/>
      <c r="E10" s="181">
        <v>2026</v>
      </c>
      <c r="F10" s="181">
        <f>E10+1</f>
        <v>2027</v>
      </c>
      <c r="G10" s="181">
        <f t="shared" ref="G10:N10" si="0">F10+1</f>
        <v>2028</v>
      </c>
      <c r="H10" s="181">
        <f t="shared" si="0"/>
        <v>2029</v>
      </c>
      <c r="I10" s="181">
        <f t="shared" si="0"/>
        <v>2030</v>
      </c>
      <c r="J10" s="181">
        <f t="shared" si="0"/>
        <v>2031</v>
      </c>
      <c r="K10" s="181">
        <f t="shared" si="0"/>
        <v>2032</v>
      </c>
      <c r="L10" s="181">
        <f t="shared" si="0"/>
        <v>2033</v>
      </c>
      <c r="M10" s="181">
        <f t="shared" si="0"/>
        <v>2034</v>
      </c>
      <c r="N10" s="181">
        <f t="shared" si="0"/>
        <v>2035</v>
      </c>
      <c r="O10" s="182" t="s">
        <v>303</v>
      </c>
      <c r="P10" s="152"/>
      <c r="Q10" s="128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F10" s="134"/>
      <c r="AG10" s="134"/>
    </row>
    <row r="11" spans="2:33" ht="16.2" customHeight="1" x14ac:dyDescent="0.3">
      <c r="Q11" s="128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</row>
    <row r="12" spans="2:33" ht="16.2" customHeight="1" x14ac:dyDescent="0.3">
      <c r="C12" s="156" t="s">
        <v>304</v>
      </c>
      <c r="D12" s="156"/>
      <c r="E12" s="185">
        <v>46387</v>
      </c>
      <c r="F12" s="186">
        <f t="shared" ref="F12" si="1">EOMONTH(E12,12)</f>
        <v>46752</v>
      </c>
      <c r="G12" s="186">
        <f t="shared" ref="G12" si="2">EOMONTH(F12,12)</f>
        <v>47118</v>
      </c>
      <c r="H12" s="186">
        <f t="shared" ref="H12" si="3">EOMONTH(G12,12)</f>
        <v>47483</v>
      </c>
      <c r="I12" s="186">
        <f t="shared" ref="I12" si="4">EOMONTH(H12,12)</f>
        <v>47848</v>
      </c>
      <c r="J12" s="186">
        <f t="shared" ref="J12" si="5">EOMONTH(I12,12)</f>
        <v>48213</v>
      </c>
      <c r="K12" s="186">
        <f t="shared" ref="K12" si="6">EOMONTH(J12,12)</f>
        <v>48579</v>
      </c>
      <c r="L12" s="186">
        <f t="shared" ref="L12" si="7">EOMONTH(K12,12)</f>
        <v>48944</v>
      </c>
      <c r="M12" s="186">
        <f t="shared" ref="M12" si="8">EOMONTH(L12,12)</f>
        <v>49309</v>
      </c>
      <c r="N12" s="186">
        <f t="shared" ref="N12" si="9">EOMONTH(M12,12)</f>
        <v>49674</v>
      </c>
      <c r="O12" s="186">
        <f t="shared" ref="O12" si="10">EOMONTH(N12,12)</f>
        <v>50040</v>
      </c>
      <c r="Q12" s="128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</row>
    <row r="13" spans="2:33" ht="16.2" customHeight="1" x14ac:dyDescent="0.3">
      <c r="C13" s="159" t="s">
        <v>305</v>
      </c>
      <c r="D13" s="159"/>
      <c r="E13" s="187">
        <f t="shared" ref="E13:O13" ca="1" si="11">+(E12-TODAY())/365</f>
        <v>0.49315068493150682</v>
      </c>
      <c r="F13" s="187">
        <f t="shared" ca="1" si="11"/>
        <v>1.4931506849315068</v>
      </c>
      <c r="G13" s="187">
        <f t="shared" ca="1" si="11"/>
        <v>2.495890410958904</v>
      </c>
      <c r="H13" s="187">
        <f t="shared" ca="1" si="11"/>
        <v>3.495890410958904</v>
      </c>
      <c r="I13" s="187">
        <f t="shared" ca="1" si="11"/>
        <v>4.4958904109589044</v>
      </c>
      <c r="J13" s="187">
        <f t="shared" ca="1" si="11"/>
        <v>5.4958904109589044</v>
      </c>
      <c r="K13" s="187">
        <f t="shared" ca="1" si="11"/>
        <v>6.4986301369863018</v>
      </c>
      <c r="L13" s="187">
        <f t="shared" ca="1" si="11"/>
        <v>7.4986301369863018</v>
      </c>
      <c r="M13" s="187">
        <f t="shared" ca="1" si="11"/>
        <v>8.4986301369863018</v>
      </c>
      <c r="N13" s="187">
        <f t="shared" ca="1" si="11"/>
        <v>9.4986301369863018</v>
      </c>
      <c r="O13" s="187">
        <f t="shared" ca="1" si="11"/>
        <v>10.501369863013698</v>
      </c>
    </row>
    <row r="15" spans="2:33" ht="16.2" customHeight="1" x14ac:dyDescent="0.3">
      <c r="C15" s="183" t="s">
        <v>45</v>
      </c>
      <c r="D15" s="183"/>
      <c r="E15" s="184">
        <f>Modelo!AK91</f>
        <v>297.94183499307849</v>
      </c>
      <c r="F15" s="184">
        <f>Modelo!AL91</f>
        <v>353.14298769896124</v>
      </c>
      <c r="G15" s="184">
        <f>Modelo!AM91</f>
        <v>416.63398250665597</v>
      </c>
      <c r="H15" s="184">
        <f>Modelo!AN91</f>
        <v>487.75857111594081</v>
      </c>
      <c r="I15" s="184">
        <f>Modelo!AO91</f>
        <v>567.20042289782316</v>
      </c>
      <c r="J15" s="184">
        <f>Modelo!AP91</f>
        <v>655.69481647517171</v>
      </c>
      <c r="K15" s="184">
        <f>Modelo!AQ91</f>
        <v>754.03213919401787</v>
      </c>
      <c r="L15" s="184">
        <f>Modelo!AR91</f>
        <v>863.06160771623945</v>
      </c>
      <c r="M15" s="184">
        <f>Modelo!AS91</f>
        <v>983.69522308158821</v>
      </c>
      <c r="N15" s="184">
        <f>Modelo!AT91</f>
        <v>1116.9119743724398</v>
      </c>
      <c r="O15" s="184">
        <f t="shared" ref="O15:O22" si="12">N15*(1+$G$6)</f>
        <v>1172.7575730910619</v>
      </c>
    </row>
    <row r="16" spans="2:33" ht="16.2" customHeight="1" x14ac:dyDescent="0.3">
      <c r="C16" s="124" t="s">
        <v>91</v>
      </c>
      <c r="E16" s="153">
        <f ca="1">Modelo!AK92</f>
        <v>-39.761249202582604</v>
      </c>
      <c r="F16" s="153">
        <f ca="1">Modelo!AL92</f>
        <v>-46.131487046404573</v>
      </c>
      <c r="G16" s="153">
        <f ca="1">Modelo!AM92</f>
        <v>-52.682327838845865</v>
      </c>
      <c r="H16" s="153">
        <f ca="1">Modelo!AN92</f>
        <v>-57.280853370851858</v>
      </c>
      <c r="I16" s="153">
        <f ca="1">Modelo!AO92</f>
        <v>-61.873278754972944</v>
      </c>
      <c r="J16" s="153">
        <f ca="1">Modelo!AP92</f>
        <v>-66.429597595994167</v>
      </c>
      <c r="K16" s="153">
        <f ca="1">Modelo!AQ92</f>
        <v>-70.915934473477904</v>
      </c>
      <c r="L16" s="153">
        <f ca="1">Modelo!AR92</f>
        <v>-75.294189176350613</v>
      </c>
      <c r="M16" s="153">
        <f ca="1">Modelo!AS92</f>
        <v>-79.521652862739742</v>
      </c>
      <c r="N16" s="153">
        <f ca="1">Modelo!AT92</f>
        <v>-83.550594119989626</v>
      </c>
      <c r="O16" s="153">
        <f t="shared" ca="1" si="12"/>
        <v>-87.728123825989115</v>
      </c>
    </row>
    <row r="17" spans="3:15" ht="16.2" customHeight="1" x14ac:dyDescent="0.3">
      <c r="C17" s="124" t="s">
        <v>53</v>
      </c>
      <c r="E17" s="153">
        <f ca="1">Modelo!AK93</f>
        <v>-35.576112107629974</v>
      </c>
      <c r="F17" s="153">
        <f ca="1">Modelo!AL93</f>
        <v>-51.966339266901464</v>
      </c>
      <c r="G17" s="153">
        <f ca="1">Modelo!AM93</f>
        <v>-36.359146995488587</v>
      </c>
      <c r="H17" s="153">
        <f ca="1">Modelo!AN93</f>
        <v>-44.856218840479229</v>
      </c>
      <c r="I17" s="153">
        <f ca="1">Modelo!AO93</f>
        <v>-54.910463048396196</v>
      </c>
      <c r="J17" s="153">
        <f ca="1">Modelo!AP93</f>
        <v>-66.86584982723754</v>
      </c>
      <c r="K17" s="153">
        <f ca="1">Modelo!AQ93</f>
        <v>-80.898468986021498</v>
      </c>
      <c r="L17" s="153">
        <f ca="1">Modelo!AR93</f>
        <v>-97.203271826397668</v>
      </c>
      <c r="M17" s="153">
        <f ca="1">Modelo!AS93</f>
        <v>-115.99451165293949</v>
      </c>
      <c r="N17" s="153">
        <f ca="1">Modelo!AT93</f>
        <v>-137.50642521638591</v>
      </c>
      <c r="O17" s="153">
        <f t="shared" ca="1" si="12"/>
        <v>-144.38174647720521</v>
      </c>
    </row>
    <row r="18" spans="3:15" ht="16.2" customHeight="1" x14ac:dyDescent="0.3">
      <c r="C18" s="35" t="s">
        <v>315</v>
      </c>
      <c r="E18" s="153">
        <f>Modelo!AK94</f>
        <v>-48.551699878965564</v>
      </c>
      <c r="F18" s="153">
        <f>Modelo!AL94</f>
        <v>-73.381562165896298</v>
      </c>
      <c r="G18" s="153">
        <f>Modelo!AM94</f>
        <v>-81.537315530006254</v>
      </c>
      <c r="H18" s="153">
        <f>Modelo!AN94</f>
        <v>-87.817428680624744</v>
      </c>
      <c r="I18" s="153">
        <f>Modelo!AO94</f>
        <v>-94.499063767800862</v>
      </c>
      <c r="J18" s="153">
        <f>Modelo!AP94</f>
        <v>-101.60558051907742</v>
      </c>
      <c r="K18" s="153">
        <f>Modelo!AQ94</f>
        <v>-109.16162466888545</v>
      </c>
      <c r="L18" s="153">
        <f>Modelo!AR94</f>
        <v>-117.19319650495322</v>
      </c>
      <c r="M18" s="153">
        <f>Modelo!AS94</f>
        <v>-125.7277230147065</v>
      </c>
      <c r="N18" s="153">
        <f>Modelo!AT94</f>
        <v>-134.79413382112102</v>
      </c>
      <c r="O18" s="153">
        <f t="shared" si="12"/>
        <v>-141.53384051217708</v>
      </c>
    </row>
    <row r="19" spans="3:15" ht="16.2" customHeight="1" x14ac:dyDescent="0.3">
      <c r="C19" s="124" t="s">
        <v>92</v>
      </c>
      <c r="E19" s="153">
        <f ca="1">Modelo!AK95</f>
        <v>-41.929641823010662</v>
      </c>
      <c r="F19" s="153">
        <f ca="1">Modelo!AL95</f>
        <v>-47.188925212318743</v>
      </c>
      <c r="G19" s="153">
        <f ca="1">Modelo!AM95</f>
        <v>-53.010723406227825</v>
      </c>
      <c r="H19" s="153">
        <f ca="1">Modelo!AN95</f>
        <v>-59.270710221606166</v>
      </c>
      <c r="I19" s="153">
        <f ca="1">Modelo!AO95</f>
        <v>-65.996638070236216</v>
      </c>
      <c r="J19" s="153">
        <f ca="1">Modelo!AP95</f>
        <v>-73.21786621445608</v>
      </c>
      <c r="K19" s="153">
        <f ca="1">Modelo!AQ95</f>
        <v>-80.965448989267841</v>
      </c>
      <c r="L19" s="153">
        <f ca="1">Modelo!AR95</f>
        <v>-89.272228719037699</v>
      </c>
      <c r="M19" s="153">
        <f ca="1">Modelo!AS95</f>
        <v>-98.172933575045761</v>
      </c>
      <c r="N19" s="153">
        <f ca="1">Modelo!AT95</f>
        <v>-107.70428063308803</v>
      </c>
      <c r="O19" s="153">
        <f t="shared" ca="1" si="12"/>
        <v>-113.08949466474243</v>
      </c>
    </row>
    <row r="20" spans="3:15" ht="16.2" customHeight="1" x14ac:dyDescent="0.3">
      <c r="C20" s="124" t="s">
        <v>312</v>
      </c>
      <c r="E20" s="153">
        <f>Modelo!AK96</f>
        <v>-13.00086724227036</v>
      </c>
      <c r="F20" s="153">
        <f>Modelo!AL96</f>
        <v>-14.834889408443484</v>
      </c>
      <c r="G20" s="153">
        <f>Modelo!AM96</f>
        <v>-16.87274796089854</v>
      </c>
      <c r="H20" s="153">
        <f>Modelo!AN96</f>
        <v>-19.067565106007574</v>
      </c>
      <c r="I20" s="153">
        <f>Modelo!AO96</f>
        <v>-21.429376063928295</v>
      </c>
      <c r="J20" s="153">
        <f>Modelo!AP96</f>
        <v>-23.968799883464815</v>
      </c>
      <c r="K20" s="153">
        <f>Modelo!AQ96</f>
        <v>-26.697071583181387</v>
      </c>
      <c r="L20" s="153">
        <f>Modelo!AR96</f>
        <v>-29.626076005693633</v>
      </c>
      <c r="M20" s="153">
        <f>Modelo!AS96</f>
        <v>-32.768383475111492</v>
      </c>
      <c r="N20" s="153">
        <f>Modelo!AT96</f>
        <v>-36.137287352343684</v>
      </c>
      <c r="O20" s="153">
        <f t="shared" si="12"/>
        <v>-37.944151719960871</v>
      </c>
    </row>
    <row r="21" spans="3:15" ht="16.2" customHeight="1" x14ac:dyDescent="0.3">
      <c r="C21" s="124" t="s">
        <v>313</v>
      </c>
      <c r="E21" s="153">
        <f>Modelo!AK97</f>
        <v>-22.246673893418549</v>
      </c>
      <c r="F21" s="153">
        <f>Modelo!AL97</f>
        <v>-25.86175840109906</v>
      </c>
      <c r="G21" s="153">
        <f>Modelo!AM97</f>
        <v>-29.782734674814083</v>
      </c>
      <c r="H21" s="153">
        <f>Modelo!AN97</f>
        <v>-34.031154179897854</v>
      </c>
      <c r="I21" s="153">
        <f>Modelo!AO97</f>
        <v>-38.629958798802974</v>
      </c>
      <c r="J21" s="153">
        <f>Modelo!AP97</f>
        <v>-43.603565994148852</v>
      </c>
      <c r="K21" s="153">
        <f>Modelo!AQ97</f>
        <v>-48.977959012032322</v>
      </c>
      <c r="L21" s="153">
        <f>Modelo!AR97</f>
        <v>-54.780782416718765</v>
      </c>
      <c r="M21" s="153">
        <f>Modelo!AS97</f>
        <v>-61.041443264343755</v>
      </c>
      <c r="N21" s="153">
        <f>Modelo!AT97</f>
        <v>-67.79121824068946</v>
      </c>
      <c r="O21" s="153">
        <f t="shared" si="12"/>
        <v>-71.180779152723943</v>
      </c>
    </row>
    <row r="22" spans="3:15" ht="16.2" customHeight="1" x14ac:dyDescent="0.3">
      <c r="C22" s="124" t="s">
        <v>314</v>
      </c>
      <c r="E22" s="153">
        <f ca="1">Modelo!AK128-Modelo!AF128</f>
        <v>35.636813693114895</v>
      </c>
      <c r="F22" s="153">
        <f ca="1">Modelo!AL128-Modelo!AK128</f>
        <v>18.872999999999998</v>
      </c>
      <c r="G22" s="153">
        <f ca="1">Modelo!AM128-Modelo!AL128</f>
        <v>0</v>
      </c>
      <c r="H22" s="153">
        <f ca="1">Modelo!AN128-Modelo!AM128</f>
        <v>0</v>
      </c>
      <c r="I22" s="153">
        <f ca="1">Modelo!AO128-Modelo!AN128</f>
        <v>0</v>
      </c>
      <c r="J22" s="153">
        <f ca="1">Modelo!AP128-Modelo!AO128</f>
        <v>0</v>
      </c>
      <c r="K22" s="153">
        <f ca="1">Modelo!AQ128-Modelo!AP128</f>
        <v>0</v>
      </c>
      <c r="L22" s="153">
        <f ca="1">Modelo!AR128-Modelo!AQ128</f>
        <v>0</v>
      </c>
      <c r="M22" s="153">
        <f ca="1">Modelo!AS128-Modelo!AR128</f>
        <v>0</v>
      </c>
      <c r="N22" s="153">
        <f ca="1">Modelo!AT128-Modelo!AS128</f>
        <v>0</v>
      </c>
      <c r="O22" s="153">
        <f t="shared" ca="1" si="12"/>
        <v>0</v>
      </c>
    </row>
    <row r="23" spans="3:15" ht="16.2" customHeight="1" x14ac:dyDescent="0.3">
      <c r="C23" s="188" t="s">
        <v>306</v>
      </c>
      <c r="D23" s="188"/>
      <c r="E23" s="189">
        <f ca="1">SUM(E15:E22)</f>
        <v>132.51240453831571</v>
      </c>
      <c r="F23" s="189">
        <f t="shared" ref="F23:O23" ca="1" si="13">SUM(F15:F22)</f>
        <v>112.65102619789761</v>
      </c>
      <c r="G23" s="189">
        <f t="shared" ca="1" si="13"/>
        <v>146.38898610037478</v>
      </c>
      <c r="H23" s="189">
        <f t="shared" ca="1" si="13"/>
        <v>185.43464071647338</v>
      </c>
      <c r="I23" s="189">
        <f t="shared" ca="1" si="13"/>
        <v>229.86164439368565</v>
      </c>
      <c r="J23" s="189">
        <f t="shared" ca="1" si="13"/>
        <v>280.00355644079275</v>
      </c>
      <c r="K23" s="189">
        <f t="shared" ca="1" si="13"/>
        <v>336.41563148115142</v>
      </c>
      <c r="L23" s="189">
        <f t="shared" ca="1" si="13"/>
        <v>399.69186306708787</v>
      </c>
      <c r="M23" s="189">
        <f t="shared" ca="1" si="13"/>
        <v>470.46857523670138</v>
      </c>
      <c r="N23" s="189">
        <f t="shared" ca="1" si="13"/>
        <v>549.42803498882199</v>
      </c>
      <c r="O23" s="189">
        <f t="shared" ca="1" si="13"/>
        <v>576.89943673826315</v>
      </c>
    </row>
    <row r="25" spans="3:15" ht="16.2" customHeight="1" x14ac:dyDescent="0.3">
      <c r="C25" s="177" t="s">
        <v>307</v>
      </c>
      <c r="D25" s="178"/>
      <c r="E25" s="179">
        <f ca="1">E23/(1+$G$5)^E13</f>
        <v>124.2206702580369</v>
      </c>
      <c r="F25" s="179">
        <f t="shared" ref="F25:N25" ca="1" si="14">F23/(1+$G$5)^F13</f>
        <v>92.633406385105999</v>
      </c>
      <c r="G25" s="179">
        <f t="shared" ca="1" si="14"/>
        <v>105.55532081918082</v>
      </c>
      <c r="H25" s="179">
        <f t="shared" ca="1" si="14"/>
        <v>117.28912410091584</v>
      </c>
      <c r="I25" s="179">
        <f t="shared" ca="1" si="14"/>
        <v>127.53474959270744</v>
      </c>
      <c r="J25" s="179">
        <f t="shared" ca="1" si="14"/>
        <v>136.27642146312132</v>
      </c>
      <c r="K25" s="179">
        <f t="shared" ca="1" si="14"/>
        <v>143.57293717878207</v>
      </c>
      <c r="L25" s="179">
        <f t="shared" ca="1" si="14"/>
        <v>149.62937910212247</v>
      </c>
      <c r="M25" s="179">
        <f t="shared" ca="1" si="14"/>
        <v>154.49603413291072</v>
      </c>
      <c r="N25" s="179">
        <f t="shared" ca="1" si="14"/>
        <v>158.26784173387841</v>
      </c>
      <c r="O25" s="179">
        <f ca="1">(O23/(G5-G6))/((1+G5)^O13)</f>
        <v>1619.1187966044467</v>
      </c>
    </row>
    <row r="26" spans="3:15" ht="16.2" customHeight="1" x14ac:dyDescent="0.3">
      <c r="O26" s="154"/>
    </row>
    <row r="27" spans="3:15" ht="16.2" customHeight="1" x14ac:dyDescent="0.3">
      <c r="C27" s="155" t="s">
        <v>308</v>
      </c>
      <c r="D27" s="156"/>
      <c r="E27" s="157">
        <f t="shared" ref="E27:N27" ca="1" si="15">E23/(1+$I$7)^E13</f>
        <v>123.68679983535941</v>
      </c>
      <c r="F27" s="157">
        <f t="shared" ca="1" si="15"/>
        <v>91.43324438606318</v>
      </c>
      <c r="G27" s="157">
        <f t="shared" ca="1" si="15"/>
        <v>103.27929034622638</v>
      </c>
      <c r="H27" s="157">
        <f t="shared" ca="1" si="15"/>
        <v>113.76217040092457</v>
      </c>
      <c r="I27" s="157">
        <f t="shared" ca="1" si="15"/>
        <v>122.62405424366092</v>
      </c>
      <c r="J27" s="157">
        <f t="shared" ca="1" si="15"/>
        <v>129.8897463675552</v>
      </c>
      <c r="K27" s="157">
        <f t="shared" ca="1" si="15"/>
        <v>135.65111018298271</v>
      </c>
      <c r="L27" s="157">
        <f t="shared" ca="1" si="15"/>
        <v>140.14404616214318</v>
      </c>
      <c r="M27" s="157">
        <f t="shared" ca="1" si="15"/>
        <v>143.44391336618699</v>
      </c>
      <c r="N27" s="157">
        <f t="shared" ca="1" si="15"/>
        <v>145.66810825779498</v>
      </c>
      <c r="O27" s="158">
        <f ca="1">(O23/(I7-G6))/((1+I7)^O13)</f>
        <v>1329.5039852609184</v>
      </c>
    </row>
    <row r="28" spans="3:15" ht="16.2" customHeight="1" x14ac:dyDescent="0.3">
      <c r="C28" s="143" t="s">
        <v>309</v>
      </c>
      <c r="D28" s="159"/>
      <c r="E28" s="160">
        <f t="shared" ref="E28:N28" ca="1" si="16">E23/(1+$I$5)^E13</f>
        <v>124.76157936843312</v>
      </c>
      <c r="F28" s="160">
        <f t="shared" ca="1" si="16"/>
        <v>93.860105505317264</v>
      </c>
      <c r="G28" s="160">
        <f t="shared" ca="1" si="16"/>
        <v>107.90223110500105</v>
      </c>
      <c r="H28" s="160">
        <f t="shared" ca="1" si="16"/>
        <v>120.95795773920321</v>
      </c>
      <c r="I28" s="160">
        <f t="shared" ca="1" si="16"/>
        <v>132.68799881687866</v>
      </c>
      <c r="J28" s="160">
        <f t="shared" ca="1" si="16"/>
        <v>143.03760803336291</v>
      </c>
      <c r="K28" s="160">
        <f t="shared" ca="1" si="16"/>
        <v>152.03339530582721</v>
      </c>
      <c r="L28" s="160">
        <f t="shared" ca="1" si="16"/>
        <v>159.84891436427665</v>
      </c>
      <c r="M28" s="160">
        <f t="shared" ca="1" si="16"/>
        <v>166.50855840116753</v>
      </c>
      <c r="N28" s="160">
        <f t="shared" ca="1" si="16"/>
        <v>172.08313641172964</v>
      </c>
      <c r="O28" s="161">
        <f ca="1">(O23/(I5-G6))/((1+I5)^O13)</f>
        <v>1998.0840875662707</v>
      </c>
    </row>
    <row r="29" spans="3:15" ht="16.2" customHeight="1" x14ac:dyDescent="0.3">
      <c r="C29" s="162"/>
    </row>
    <row r="40" spans="15:23" ht="16.2" customHeight="1" x14ac:dyDescent="0.3">
      <c r="O40" s="163"/>
      <c r="P40" s="163"/>
      <c r="Q40" s="163"/>
      <c r="R40" s="163"/>
      <c r="S40" s="163"/>
      <c r="T40" s="163"/>
      <c r="U40" s="163"/>
      <c r="V40" s="163"/>
      <c r="W40" s="163"/>
    </row>
    <row r="50" spans="7:18" ht="16.2" customHeight="1" x14ac:dyDescent="0.3">
      <c r="J50" s="163"/>
      <c r="K50" s="163"/>
      <c r="L50" s="163"/>
    </row>
    <row r="64" spans="7:18" ht="16.2" customHeight="1" x14ac:dyDescent="0.3">
      <c r="G64" s="129"/>
      <c r="H64" s="130"/>
      <c r="I64" s="130"/>
      <c r="J64" s="130"/>
      <c r="K64" s="130"/>
      <c r="L64" s="130"/>
      <c r="M64" s="130"/>
      <c r="N64" s="130"/>
      <c r="O64" s="130"/>
      <c r="P64" s="130"/>
      <c r="Q64" s="130"/>
      <c r="R64" s="130"/>
    </row>
    <row r="65" spans="7:18" ht="16.2" customHeight="1" x14ac:dyDescent="0.3">
      <c r="G65" s="129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</row>
    <row r="66" spans="7:18" ht="16.2" customHeight="1" x14ac:dyDescent="0.3">
      <c r="G66" s="129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</row>
    <row r="67" spans="7:18" ht="16.2" customHeight="1" x14ac:dyDescent="0.3">
      <c r="G67" s="129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</row>
    <row r="68" spans="7:18" ht="16.2" customHeight="1" x14ac:dyDescent="0.3">
      <c r="G68" s="129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</row>
    <row r="69" spans="7:18" ht="16.2" customHeight="1" x14ac:dyDescent="0.3">
      <c r="G69" s="129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</row>
    <row r="70" spans="7:18" ht="16.2" customHeight="1" x14ac:dyDescent="0.3">
      <c r="G70" s="129"/>
      <c r="H70" s="130"/>
      <c r="I70" s="130"/>
      <c r="J70" s="130"/>
      <c r="K70" s="130"/>
      <c r="L70" s="130"/>
      <c r="M70" s="130"/>
      <c r="N70" s="130"/>
      <c r="O70" s="130"/>
      <c r="P70" s="130"/>
      <c r="Q70" s="130"/>
      <c r="R70" s="130"/>
    </row>
    <row r="71" spans="7:18" ht="16.2" customHeight="1" x14ac:dyDescent="0.3">
      <c r="G71" s="129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</row>
    <row r="72" spans="7:18" ht="16.2" customHeight="1" x14ac:dyDescent="0.3">
      <c r="G72" s="129"/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</row>
    <row r="73" spans="7:18" ht="16.2" customHeight="1" x14ac:dyDescent="0.3">
      <c r="G73" s="129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</row>
    <row r="74" spans="7:18" ht="16.2" customHeight="1" x14ac:dyDescent="0.3">
      <c r="G74" s="164"/>
    </row>
  </sheetData>
  <mergeCells count="3">
    <mergeCell ref="C3:D4"/>
    <mergeCell ref="F3:G4"/>
    <mergeCell ref="I3:K3"/>
  </mergeCells>
  <conditionalFormatting sqref="H65:O73">
    <cfRule type="colorScale" priority="1">
      <colorScale>
        <cfvo type="min"/>
        <cfvo type="percentile" val="50"/>
        <cfvo type="max"/>
        <color rgb="FFFF0000"/>
        <color rgb="FFFFFF00"/>
        <color rgb="FF00B050"/>
      </colorScale>
    </cfRule>
  </conditionalFormatting>
  <conditionalFormatting sqref="N2:O8">
    <cfRule type="colorScale" priority="7">
      <colorScale>
        <cfvo type="min"/>
        <cfvo type="percentile" val="50"/>
        <cfvo type="max"/>
        <color rgb="FFFF0000"/>
        <color rgb="FFFFC000"/>
        <color rgb="FFFFFF00"/>
      </colorScale>
    </cfRule>
  </conditionalFormatting>
  <conditionalFormatting sqref="N3:O6">
    <cfRule type="colorScale" priority="2">
      <colorScale>
        <cfvo type="min"/>
        <cfvo type="max"/>
        <color rgb="FFFFC000"/>
        <color rgb="FFFFFF00"/>
      </colorScale>
    </cfRule>
    <cfRule type="colorScale" priority="3">
      <colorScale>
        <cfvo type="num" val="0.16"/>
        <cfvo type="num" val="0.65"/>
        <color rgb="FFFF7128"/>
        <color rgb="FFFFEF9C"/>
      </colorScale>
    </cfRule>
    <cfRule type="colorScale" priority="4">
      <colorScale>
        <cfvo type="min"/>
        <cfvo type="percentile" val="50"/>
        <cfvo type="max"/>
        <color rgb="FFFFC000"/>
        <color rgb="FFFFFF00"/>
        <color rgb="FFFFFF99"/>
      </colorScale>
    </cfRule>
    <cfRule type="colorScale" priority="5">
      <colorScale>
        <cfvo type="min"/>
        <cfvo type="max"/>
        <color rgb="FFFFC000"/>
        <color rgb="FF92D050"/>
      </colorScale>
    </cfRule>
    <cfRule type="colorScale" priority="6">
      <colorScale>
        <cfvo type="min"/>
        <cfvo type="percentile" val="50"/>
        <cfvo type="max"/>
        <color rgb="FFFF0000"/>
        <color rgb="FFFFC000"/>
        <color rgb="FF92D05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ED514-54E8-4F97-B976-B38A26FC38D7}">
  <sheetPr>
    <tabColor theme="7" tint="0.79998168889431442"/>
  </sheetPr>
  <dimension ref="A2:AU528"/>
  <sheetViews>
    <sheetView showGridLines="0" zoomScale="85" zoomScaleNormal="85" workbookViewId="0">
      <pane xSplit="2" ySplit="2" topLeftCell="AA3" activePane="bottomRight" state="frozen"/>
      <selection pane="topRight" activeCell="C1" sqref="C1"/>
      <selection pane="bottomLeft" activeCell="A3" sqref="A3"/>
      <selection pane="bottomRight" activeCell="AL142" sqref="AL142"/>
    </sheetView>
  </sheetViews>
  <sheetFormatPr defaultColWidth="8.88671875" defaultRowHeight="16.2" customHeight="1" outlineLevelCol="1" x14ac:dyDescent="0.3"/>
  <cols>
    <col min="1" max="1" width="0.88671875" style="6" customWidth="1"/>
    <col min="2" max="2" width="45.77734375" style="6" customWidth="1"/>
    <col min="3" max="6" width="7.88671875" style="6" customWidth="1" outlineLevel="1"/>
    <col min="7" max="7" width="7.88671875" style="6" customWidth="1"/>
    <col min="8" max="11" width="7.88671875" style="6" customWidth="1" outlineLevel="1"/>
    <col min="12" max="12" width="7.88671875" style="6" customWidth="1"/>
    <col min="13" max="16" width="7.88671875" style="6" customWidth="1" outlineLevel="1"/>
    <col min="17" max="17" width="7.88671875" style="6" customWidth="1"/>
    <col min="18" max="21" width="7.88671875" style="6" customWidth="1" outlineLevel="1"/>
    <col min="22" max="22" width="7.88671875" style="6" customWidth="1"/>
    <col min="23" max="26" width="7.88671875" style="6" customWidth="1" outlineLevel="1"/>
    <col min="27" max="27" width="7.88671875" style="6" customWidth="1"/>
    <col min="28" max="31" width="7.88671875" style="6" customWidth="1" outlineLevel="1"/>
    <col min="32" max="32" width="7.88671875" style="6" customWidth="1"/>
    <col min="33" max="36" width="7.88671875" style="6" customWidth="1" outlineLevel="1"/>
    <col min="37" max="46" width="7.88671875" style="6" customWidth="1"/>
    <col min="47" max="47" width="3.88671875" style="6" customWidth="1"/>
    <col min="48" max="16384" width="8.88671875" style="6"/>
  </cols>
  <sheetData>
    <row r="2" spans="1:47" s="5" customFormat="1" ht="16.2" customHeight="1" x14ac:dyDescent="0.3">
      <c r="A2" s="1"/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3">
        <v>2020</v>
      </c>
      <c r="H2" s="2" t="s">
        <v>5</v>
      </c>
      <c r="I2" s="2" t="s">
        <v>6</v>
      </c>
      <c r="J2" s="2" t="s">
        <v>7</v>
      </c>
      <c r="K2" s="2" t="s">
        <v>8</v>
      </c>
      <c r="L2" s="3">
        <v>2021</v>
      </c>
      <c r="M2" s="2" t="s">
        <v>9</v>
      </c>
      <c r="N2" s="2" t="s">
        <v>10</v>
      </c>
      <c r="O2" s="2" t="s">
        <v>11</v>
      </c>
      <c r="P2" s="2" t="s">
        <v>12</v>
      </c>
      <c r="Q2" s="3">
        <v>2022</v>
      </c>
      <c r="R2" s="2" t="s">
        <v>13</v>
      </c>
      <c r="S2" s="2" t="s">
        <v>14</v>
      </c>
      <c r="T2" s="2" t="s">
        <v>15</v>
      </c>
      <c r="U2" s="2" t="s">
        <v>16</v>
      </c>
      <c r="V2" s="3">
        <v>2023</v>
      </c>
      <c r="W2" s="2" t="s">
        <v>17</v>
      </c>
      <c r="X2" s="2" t="s">
        <v>18</v>
      </c>
      <c r="Y2" s="2" t="s">
        <v>19</v>
      </c>
      <c r="Z2" s="2" t="s">
        <v>20</v>
      </c>
      <c r="AA2" s="3">
        <v>2024</v>
      </c>
      <c r="AB2" s="2" t="s">
        <v>21</v>
      </c>
      <c r="AC2" s="2" t="s">
        <v>22</v>
      </c>
      <c r="AD2" s="2" t="s">
        <v>23</v>
      </c>
      <c r="AE2" s="2" t="s">
        <v>24</v>
      </c>
      <c r="AF2" s="3">
        <v>2025</v>
      </c>
      <c r="AG2" s="2" t="s">
        <v>25</v>
      </c>
      <c r="AH2" s="2" t="s">
        <v>26</v>
      </c>
      <c r="AI2" s="2" t="s">
        <v>27</v>
      </c>
      <c r="AJ2" s="2" t="s">
        <v>28</v>
      </c>
      <c r="AK2" s="3">
        <v>2026</v>
      </c>
      <c r="AL2" s="3">
        <v>2027</v>
      </c>
      <c r="AM2" s="3">
        <v>2028</v>
      </c>
      <c r="AN2" s="3">
        <v>2029</v>
      </c>
      <c r="AO2" s="3">
        <v>2030</v>
      </c>
      <c r="AP2" s="3">
        <v>2031</v>
      </c>
      <c r="AQ2" s="3">
        <v>2032</v>
      </c>
      <c r="AR2" s="3">
        <v>2033</v>
      </c>
      <c r="AS2" s="3">
        <v>2034</v>
      </c>
      <c r="AT2" s="3">
        <v>2035</v>
      </c>
      <c r="AU2" s="4" t="s">
        <v>29</v>
      </c>
    </row>
    <row r="3" spans="1:47" ht="16.2" customHeight="1" x14ac:dyDescent="0.3">
      <c r="G3" s="7"/>
      <c r="L3" s="7"/>
      <c r="Q3" s="7"/>
      <c r="V3" s="7"/>
      <c r="AA3" s="7"/>
      <c r="AF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8" t="s">
        <v>29</v>
      </c>
    </row>
    <row r="4" spans="1:47" ht="16.2" customHeight="1" x14ac:dyDescent="0.3">
      <c r="A4" s="9" t="s">
        <v>30</v>
      </c>
      <c r="B4" s="10" t="s">
        <v>31</v>
      </c>
      <c r="C4" s="11"/>
      <c r="D4" s="11"/>
      <c r="E4" s="11"/>
      <c r="F4" s="11"/>
      <c r="G4" s="12"/>
      <c r="H4" s="11"/>
      <c r="I4" s="11"/>
      <c r="J4" s="11"/>
      <c r="K4" s="11"/>
      <c r="L4" s="12"/>
      <c r="M4" s="11"/>
      <c r="N4" s="11"/>
      <c r="O4" s="11"/>
      <c r="P4" s="11"/>
      <c r="Q4" s="12"/>
      <c r="R4" s="11"/>
      <c r="S4" s="11"/>
      <c r="T4" s="11"/>
      <c r="U4" s="11"/>
      <c r="V4" s="12"/>
      <c r="W4" s="11"/>
      <c r="X4" s="11"/>
      <c r="Y4" s="11"/>
      <c r="Z4" s="11"/>
      <c r="AA4" s="12"/>
      <c r="AB4" s="11"/>
      <c r="AC4" s="11"/>
      <c r="AD4" s="11"/>
      <c r="AE4" s="11"/>
      <c r="AF4" s="12"/>
      <c r="AG4" s="11"/>
      <c r="AH4" s="11"/>
      <c r="AI4" s="11"/>
      <c r="AJ4" s="11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8" t="s">
        <v>29</v>
      </c>
    </row>
    <row r="5" spans="1:47" ht="7.95" customHeight="1" x14ac:dyDescent="0.3">
      <c r="G5" s="7"/>
      <c r="L5" s="7"/>
      <c r="Q5" s="7"/>
      <c r="V5" s="7"/>
      <c r="AA5" s="7"/>
      <c r="AF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8" t="s">
        <v>29</v>
      </c>
    </row>
    <row r="6" spans="1:47" ht="16.2" customHeight="1" x14ac:dyDescent="0.3">
      <c r="B6" s="6" t="s">
        <v>32</v>
      </c>
      <c r="C6" s="13">
        <v>4.1779339769796087E-2</v>
      </c>
      <c r="D6" s="13">
        <v>3.0708419941692933E-2</v>
      </c>
      <c r="E6" s="13">
        <v>1.9402528877152436E-2</v>
      </c>
      <c r="F6" s="13">
        <v>1.9913712624963997E-2</v>
      </c>
      <c r="G6" s="14">
        <f>AVERAGE(C6:F6)</f>
        <v>2.7951000303401363E-2</v>
      </c>
      <c r="H6" s="13">
        <v>0.02</v>
      </c>
      <c r="I6" s="13">
        <v>3.5000000000000003E-2</v>
      </c>
      <c r="J6" s="13">
        <v>0.05</v>
      </c>
      <c r="K6" s="13">
        <v>7.7499999999999999E-2</v>
      </c>
      <c r="L6" s="14">
        <f>AVERAGE(H6:K6)</f>
        <v>4.5624999999999999E-2</v>
      </c>
      <c r="M6" s="13">
        <v>0.105</v>
      </c>
      <c r="N6" s="13">
        <v>0.125</v>
      </c>
      <c r="O6" s="13">
        <v>0.13600000000000001</v>
      </c>
      <c r="P6" s="13">
        <v>0.13750000000000001</v>
      </c>
      <c r="Q6" s="14">
        <f>AVERAGE(M6:P6)</f>
        <v>0.12587500000000001</v>
      </c>
      <c r="R6" s="13">
        <v>0.13750000000000001</v>
      </c>
      <c r="S6" s="13">
        <v>0.13750000000000001</v>
      </c>
      <c r="T6" s="13">
        <v>0.13250000000000001</v>
      </c>
      <c r="U6" s="13">
        <v>0.11749999999999999</v>
      </c>
      <c r="V6" s="14">
        <f>AVERAGE(R6:U6)</f>
        <v>0.13125000000000001</v>
      </c>
      <c r="W6" s="13">
        <v>0.111</v>
      </c>
      <c r="X6" s="13">
        <v>0.106</v>
      </c>
      <c r="Y6" s="13">
        <v>0.10580000000000001</v>
      </c>
      <c r="Z6" s="13">
        <v>0.114</v>
      </c>
      <c r="AA6" s="14">
        <f>AVERAGE(W6:Z6)</f>
        <v>0.10919999999999999</v>
      </c>
      <c r="AB6" s="13">
        <v>0.13600000000000001</v>
      </c>
      <c r="AC6" s="13">
        <v>0.14699999999999999</v>
      </c>
      <c r="AD6" s="13">
        <v>0.15</v>
      </c>
      <c r="AE6" s="13">
        <v>0.15</v>
      </c>
      <c r="AF6" s="14">
        <f>AVERAGE(AB6:AE6)</f>
        <v>0.14575000000000002</v>
      </c>
      <c r="AG6" s="13">
        <v>0.14829999999999999</v>
      </c>
      <c r="AH6" s="15">
        <v>0.13800000000000001</v>
      </c>
      <c r="AI6" s="15">
        <v>0.13</v>
      </c>
      <c r="AJ6" s="15">
        <v>0.123</v>
      </c>
      <c r="AK6" s="16">
        <f>AVERAGE(AG6:AJ6)</f>
        <v>0.134825</v>
      </c>
      <c r="AL6" s="17">
        <v>0.114</v>
      </c>
      <c r="AM6" s="17">
        <v>0.1</v>
      </c>
      <c r="AN6" s="17">
        <v>0.1</v>
      </c>
      <c r="AO6" s="17">
        <v>0.1</v>
      </c>
      <c r="AP6" s="17">
        <v>0.1</v>
      </c>
      <c r="AQ6" s="17">
        <v>0.1</v>
      </c>
      <c r="AR6" s="17">
        <v>0.1</v>
      </c>
      <c r="AS6" s="17">
        <v>0.1</v>
      </c>
      <c r="AT6" s="17">
        <v>0.1</v>
      </c>
      <c r="AU6" s="8" t="s">
        <v>29</v>
      </c>
    </row>
    <row r="7" spans="1:47" ht="7.95" customHeight="1" x14ac:dyDescent="0.3">
      <c r="G7" s="7"/>
      <c r="L7" s="7"/>
      <c r="Q7" s="7"/>
      <c r="V7" s="7"/>
      <c r="AA7" s="7"/>
      <c r="AF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8" t="s">
        <v>29</v>
      </c>
    </row>
    <row r="8" spans="1:47" ht="16.2" customHeight="1" x14ac:dyDescent="0.3">
      <c r="A8" s="9" t="s">
        <v>30</v>
      </c>
      <c r="B8" s="10" t="s">
        <v>33</v>
      </c>
      <c r="C8" s="11"/>
      <c r="D8" s="11"/>
      <c r="E8" s="11"/>
      <c r="F8" s="11"/>
      <c r="G8" s="12"/>
      <c r="H8" s="11"/>
      <c r="I8" s="11"/>
      <c r="J8" s="11"/>
      <c r="K8" s="11"/>
      <c r="L8" s="12"/>
      <c r="M8" s="11"/>
      <c r="N8" s="11"/>
      <c r="O8" s="11"/>
      <c r="P8" s="11"/>
      <c r="Q8" s="12"/>
      <c r="R8" s="11"/>
      <c r="S8" s="11"/>
      <c r="T8" s="11"/>
      <c r="U8" s="11"/>
      <c r="V8" s="12"/>
      <c r="W8" s="11"/>
      <c r="X8" s="11"/>
      <c r="Y8" s="11"/>
      <c r="Z8" s="11"/>
      <c r="AA8" s="12"/>
      <c r="AB8" s="11"/>
      <c r="AC8" s="11"/>
      <c r="AD8" s="11"/>
      <c r="AE8" s="11"/>
      <c r="AF8" s="12"/>
      <c r="AG8" s="11"/>
      <c r="AH8" s="11"/>
      <c r="AI8" s="11"/>
      <c r="AJ8" s="11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8" t="s">
        <v>29</v>
      </c>
    </row>
    <row r="9" spans="1:47" ht="7.95" customHeight="1" x14ac:dyDescent="0.3">
      <c r="G9" s="7"/>
      <c r="L9" s="7"/>
      <c r="Q9" s="7"/>
      <c r="V9" s="7"/>
      <c r="AA9" s="7"/>
      <c r="AF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8" t="s">
        <v>29</v>
      </c>
    </row>
    <row r="10" spans="1:47" ht="16.2" customHeight="1" x14ac:dyDescent="0.3">
      <c r="B10" s="5" t="s">
        <v>34</v>
      </c>
      <c r="C10" s="18">
        <f>C167</f>
        <v>79.399000000000001</v>
      </c>
      <c r="D10" s="18">
        <f t="shared" ref="D10:AJ10" si="0">D167</f>
        <v>32.288999999999994</v>
      </c>
      <c r="E10" s="18">
        <f t="shared" si="0"/>
        <v>91.495999999999995</v>
      </c>
      <c r="F10" s="18">
        <f t="shared" si="0"/>
        <v>165.739</v>
      </c>
      <c r="G10" s="19">
        <f>SUM(C10:F10)</f>
        <v>368.923</v>
      </c>
      <c r="H10" s="18">
        <f t="shared" si="0"/>
        <v>90.209000000000003</v>
      </c>
      <c r="I10" s="18">
        <f t="shared" si="0"/>
        <v>129.46300000000002</v>
      </c>
      <c r="J10" s="18">
        <f t="shared" si="0"/>
        <v>169.23299999999998</v>
      </c>
      <c r="K10" s="18">
        <f t="shared" si="0"/>
        <v>208.34899999999999</v>
      </c>
      <c r="L10" s="19">
        <f>SUM(H10:K10)</f>
        <v>597.25399999999991</v>
      </c>
      <c r="M10" s="18">
        <f t="shared" si="0"/>
        <v>154.327</v>
      </c>
      <c r="N10" s="18">
        <f t="shared" si="0"/>
        <v>177.559</v>
      </c>
      <c r="O10" s="18">
        <f t="shared" si="0"/>
        <v>186.31400000000002</v>
      </c>
      <c r="P10" s="18">
        <f t="shared" si="0"/>
        <v>257.899</v>
      </c>
      <c r="Q10" s="19">
        <f>SUM(M10:P10)</f>
        <v>776.09900000000005</v>
      </c>
      <c r="R10" s="18">
        <f t="shared" si="0"/>
        <v>195.89799999999997</v>
      </c>
      <c r="S10" s="18">
        <f t="shared" si="0"/>
        <v>208.92</v>
      </c>
      <c r="T10" s="18">
        <f t="shared" si="0"/>
        <v>221.74599999999998</v>
      </c>
      <c r="U10" s="18">
        <f t="shared" si="0"/>
        <v>303.12100000000004</v>
      </c>
      <c r="V10" s="19">
        <f>SUM(R10:U10)</f>
        <v>929.68499999999995</v>
      </c>
      <c r="W10" s="18">
        <f t="shared" si="0"/>
        <v>223.42599999999999</v>
      </c>
      <c r="X10" s="18">
        <f t="shared" si="0"/>
        <v>258.19600000000003</v>
      </c>
      <c r="Y10" s="18">
        <f t="shared" si="0"/>
        <v>269.47600000000006</v>
      </c>
      <c r="Z10" s="18">
        <f t="shared" si="0"/>
        <v>368.17199999999997</v>
      </c>
      <c r="AA10" s="19">
        <f>SUM(W10:Z10)</f>
        <v>1119.27</v>
      </c>
      <c r="AB10" s="18">
        <f t="shared" si="0"/>
        <v>288.20800000000003</v>
      </c>
      <c r="AC10" s="18">
        <f t="shared" si="0"/>
        <v>324.72999999999996</v>
      </c>
      <c r="AD10" s="18">
        <f t="shared" si="0"/>
        <v>360.07699999999994</v>
      </c>
      <c r="AE10" s="18">
        <f t="shared" si="0"/>
        <v>437.09899999999993</v>
      </c>
      <c r="AF10" s="19">
        <f>SUM(AB10:AE10)</f>
        <v>1410.1139999999998</v>
      </c>
      <c r="AG10" s="18">
        <f t="shared" si="0"/>
        <v>344.94400000000002</v>
      </c>
      <c r="AH10" s="18">
        <f t="shared" si="0"/>
        <v>357.84012080434059</v>
      </c>
      <c r="AI10" s="18">
        <f t="shared" si="0"/>
        <v>377.82456547771022</v>
      </c>
      <c r="AJ10" s="18">
        <f t="shared" si="0"/>
        <v>504.64757532924824</v>
      </c>
      <c r="AK10" s="19">
        <f>SUM(AG10:AJ10)</f>
        <v>1585.2562616112989</v>
      </c>
      <c r="AL10" s="19">
        <f>AL167</f>
        <v>1808.8871216670736</v>
      </c>
      <c r="AM10" s="19">
        <f>AM167</f>
        <v>2057.3727011562592</v>
      </c>
      <c r="AN10" s="19">
        <f t="shared" ref="AN10:AT10" si="1">AN167</f>
        <v>2324.9969724866637</v>
      </c>
      <c r="AO10" s="19">
        <f t="shared" si="1"/>
        <v>2612.9835767658542</v>
      </c>
      <c r="AP10" s="19">
        <f t="shared" si="1"/>
        <v>2922.6273440459627</v>
      </c>
      <c r="AQ10" s="19">
        <f t="shared" si="1"/>
        <v>3255.298212439302</v>
      </c>
      <c r="AR10" s="19">
        <f t="shared" si="1"/>
        <v>3612.445356129685</v>
      </c>
      <c r="AS10" s="19">
        <f t="shared" si="1"/>
        <v>3995.6015332504289</v>
      </c>
      <c r="AT10" s="19">
        <f t="shared" si="1"/>
        <v>4406.3876651774472</v>
      </c>
      <c r="AU10" s="8" t="s">
        <v>29</v>
      </c>
    </row>
    <row r="11" spans="1:47" ht="16.2" customHeight="1" x14ac:dyDescent="0.3">
      <c r="B11" s="20" t="s">
        <v>35</v>
      </c>
      <c r="G11" s="7"/>
      <c r="H11" s="21">
        <f>H10/C10-1</f>
        <v>0.13614781042582402</v>
      </c>
      <c r="I11" s="21">
        <f t="shared" ref="I11:K11" si="2">I10/D10-1</f>
        <v>3.0095078819412198</v>
      </c>
      <c r="J11" s="21">
        <f t="shared" si="2"/>
        <v>0.84962184139197316</v>
      </c>
      <c r="K11" s="21">
        <f t="shared" si="2"/>
        <v>0.25709096832972311</v>
      </c>
      <c r="L11" s="14">
        <f>L10/SUM(C10:F10)-1</f>
        <v>0.61891234756304137</v>
      </c>
      <c r="M11" s="21">
        <f t="shared" ref="M11:P11" si="3">M10/H10-1</f>
        <v>0.71077165249587071</v>
      </c>
      <c r="N11" s="21">
        <f t="shared" si="3"/>
        <v>0.37150382734835419</v>
      </c>
      <c r="O11" s="21">
        <f t="shared" si="3"/>
        <v>0.10093185135286875</v>
      </c>
      <c r="P11" s="21">
        <f t="shared" si="3"/>
        <v>0.23782211577689361</v>
      </c>
      <c r="Q11" s="14">
        <f>Q10/SUM(H10:K10)-1</f>
        <v>0.29944546206471645</v>
      </c>
      <c r="R11" s="21">
        <f t="shared" ref="R11:U11" si="4">R10/M10-1</f>
        <v>0.26936958536095412</v>
      </c>
      <c r="S11" s="21">
        <f t="shared" si="4"/>
        <v>0.17662298165680124</v>
      </c>
      <c r="T11" s="21">
        <f t="shared" si="4"/>
        <v>0.19017357793831891</v>
      </c>
      <c r="U11" s="21">
        <f t="shared" si="4"/>
        <v>0.17534771363983581</v>
      </c>
      <c r="V11" s="14">
        <f>V10/SUM(M10:P10)-1</f>
        <v>0.1978948561974696</v>
      </c>
      <c r="W11" s="21">
        <f t="shared" ref="W11:Z11" si="5">W10/R10-1</f>
        <v>0.14052210844419055</v>
      </c>
      <c r="X11" s="21">
        <f t="shared" si="5"/>
        <v>0.2358606165039252</v>
      </c>
      <c r="Y11" s="21">
        <f t="shared" si="5"/>
        <v>0.21524627276253039</v>
      </c>
      <c r="Z11" s="21">
        <f t="shared" si="5"/>
        <v>0.21460406900214735</v>
      </c>
      <c r="AA11" s="14">
        <f>AA10/SUM(R10:U10)-1</f>
        <v>0.20392390971135388</v>
      </c>
      <c r="AB11" s="21">
        <f t="shared" ref="AB11:AE11" si="6">AB10/W10-1</f>
        <v>0.28994834978919215</v>
      </c>
      <c r="AC11" s="21">
        <f t="shared" si="6"/>
        <v>0.25768795798540611</v>
      </c>
      <c r="AD11" s="21">
        <f t="shared" si="6"/>
        <v>0.33621175911769452</v>
      </c>
      <c r="AE11" s="21">
        <f t="shared" si="6"/>
        <v>0.18721412817922056</v>
      </c>
      <c r="AF11" s="14">
        <f>AF10/SUM(W10:Z10)-1</f>
        <v>0.25985151035943055</v>
      </c>
      <c r="AG11" s="21">
        <f t="shared" ref="AG11:AJ11" si="7">AG10/AB10-1</f>
        <v>0.19685782490423587</v>
      </c>
      <c r="AH11" s="21">
        <f t="shared" si="7"/>
        <v>0.10196200167628677</v>
      </c>
      <c r="AI11" s="21">
        <f t="shared" si="7"/>
        <v>4.9288250784444099E-2</v>
      </c>
      <c r="AJ11" s="21">
        <f t="shared" si="7"/>
        <v>0.15453838908176021</v>
      </c>
      <c r="AK11" s="14">
        <f>AK10/SUM(AB10:AE10)-1</f>
        <v>0.12420432788504976</v>
      </c>
      <c r="AL11" s="14">
        <f>AL10/AK10-1</f>
        <v>0.14106921730652555</v>
      </c>
      <c r="AM11" s="14">
        <f>AM10/AL10-1</f>
        <v>0.13736931205534852</v>
      </c>
      <c r="AN11" s="14">
        <f t="shared" ref="AN11:AT11" si="8">AN10/AM10-1</f>
        <v>0.13008059802679295</v>
      </c>
      <c r="AO11" s="14">
        <f t="shared" si="8"/>
        <v>0.12386536743365251</v>
      </c>
      <c r="AP11" s="14">
        <f t="shared" si="8"/>
        <v>0.11850199520326155</v>
      </c>
      <c r="AQ11" s="14">
        <f t="shared" si="8"/>
        <v>0.11382596179121607</v>
      </c>
      <c r="AR11" s="14">
        <f t="shared" si="8"/>
        <v>0.10971257328303596</v>
      </c>
      <c r="AS11" s="14">
        <f t="shared" si="8"/>
        <v>0.1060655980499734</v>
      </c>
      <c r="AT11" s="14">
        <f t="shared" si="8"/>
        <v>0.10280958411607255</v>
      </c>
      <c r="AU11" s="8" t="s">
        <v>29</v>
      </c>
    </row>
    <row r="12" spans="1:47" ht="7.95" customHeight="1" x14ac:dyDescent="0.3">
      <c r="G12" s="7"/>
      <c r="L12" s="7"/>
      <c r="Q12" s="7"/>
      <c r="V12" s="7"/>
      <c r="AA12" s="7"/>
      <c r="AF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8" t="s">
        <v>29</v>
      </c>
    </row>
    <row r="13" spans="1:47" ht="16.2" customHeight="1" x14ac:dyDescent="0.3">
      <c r="B13" s="20" t="s">
        <v>36</v>
      </c>
      <c r="C13" s="22">
        <f>C16-C10</f>
        <v>-23.265000000000001</v>
      </c>
      <c r="D13" s="22">
        <f t="shared" ref="D13:AJ13" si="9">D16-D10</f>
        <v>-8.8559999999999945</v>
      </c>
      <c r="E13" s="22">
        <f t="shared" si="9"/>
        <v>-25.227999999999994</v>
      </c>
      <c r="F13" s="22">
        <f t="shared" si="9"/>
        <v>-44.254470230000976</v>
      </c>
      <c r="G13" s="23">
        <f>SUM(C13:F13)</f>
        <v>-101.60347023000097</v>
      </c>
      <c r="H13" s="22">
        <f t="shared" si="9"/>
        <v>-26.496000000000002</v>
      </c>
      <c r="I13" s="22">
        <f t="shared" si="9"/>
        <v>-35.024000000000029</v>
      </c>
      <c r="J13" s="22">
        <f t="shared" si="9"/>
        <v>-44.451986490005865</v>
      </c>
      <c r="K13" s="22">
        <f t="shared" si="9"/>
        <v>-56.690169120000149</v>
      </c>
      <c r="L13" s="23">
        <f>SUM(H13:K13)</f>
        <v>-162.66215561000604</v>
      </c>
      <c r="M13" s="22">
        <f t="shared" si="9"/>
        <v>-41.802999999999997</v>
      </c>
      <c r="N13" s="22">
        <f t="shared" si="9"/>
        <v>-46.115999999999985</v>
      </c>
      <c r="O13" s="22">
        <f t="shared" si="9"/>
        <v>-48.16700000000003</v>
      </c>
      <c r="P13" s="22">
        <f t="shared" si="9"/>
        <v>-72.586999999999989</v>
      </c>
      <c r="Q13" s="23">
        <f>SUM(M13:P13)</f>
        <v>-208.673</v>
      </c>
      <c r="R13" s="22">
        <f t="shared" si="9"/>
        <v>-54.20799999999997</v>
      </c>
      <c r="S13" s="22">
        <f t="shared" si="9"/>
        <v>-53.144612199999813</v>
      </c>
      <c r="T13" s="22">
        <f t="shared" si="9"/>
        <v>-57.468275189999986</v>
      </c>
      <c r="U13" s="22">
        <f t="shared" si="9"/>
        <v>-81.174000000000035</v>
      </c>
      <c r="V13" s="23">
        <f>SUM(R13:U13)</f>
        <v>-245.9948873899998</v>
      </c>
      <c r="W13" s="22">
        <f t="shared" si="9"/>
        <v>-61.294999999999987</v>
      </c>
      <c r="X13" s="22">
        <f t="shared" si="9"/>
        <v>-66.194000000000017</v>
      </c>
      <c r="Y13" s="22">
        <f t="shared" si="9"/>
        <v>-65.141000000000048</v>
      </c>
      <c r="Z13" s="22">
        <f t="shared" si="9"/>
        <v>-94.880999999999972</v>
      </c>
      <c r="AA13" s="23">
        <f>SUM(W13:Z13)</f>
        <v>-287.51100000000002</v>
      </c>
      <c r="AB13" s="22">
        <f t="shared" si="9"/>
        <v>-75.422000000000025</v>
      </c>
      <c r="AC13" s="22">
        <f t="shared" si="9"/>
        <v>-82.638999999999953</v>
      </c>
      <c r="AD13" s="22">
        <f t="shared" si="9"/>
        <v>-91.547999999999945</v>
      </c>
      <c r="AE13" s="22">
        <f t="shared" si="9"/>
        <v>-113.99299999999994</v>
      </c>
      <c r="AF13" s="23">
        <f>SUM(AB13:AE13)</f>
        <v>-363.60199999999986</v>
      </c>
      <c r="AG13" s="22">
        <f t="shared" si="9"/>
        <v>-93.78600000000003</v>
      </c>
      <c r="AH13" s="22">
        <f t="shared" si="9"/>
        <v>-97.292295473340289</v>
      </c>
      <c r="AI13" s="22">
        <f t="shared" si="9"/>
        <v>-102.72581838760067</v>
      </c>
      <c r="AJ13" s="22">
        <f t="shared" si="9"/>
        <v>-137.20742352332223</v>
      </c>
      <c r="AK13" s="23">
        <f>SUM(AG13:AJ13)</f>
        <v>-431.01153738426325</v>
      </c>
      <c r="AL13" s="23">
        <f>AL16-AL10</f>
        <v>-491.81399761314356</v>
      </c>
      <c r="AM13" s="23">
        <f>AM16-AM10</f>
        <v>-559.37414812445195</v>
      </c>
      <c r="AN13" s="23">
        <f t="shared" ref="AN13:AT13" si="10">AN16-AN10</f>
        <v>-632.13787183320846</v>
      </c>
      <c r="AO13" s="23">
        <f t="shared" si="10"/>
        <v>-710.4378615965561</v>
      </c>
      <c r="AP13" s="23">
        <f t="shared" si="10"/>
        <v>-794.62616566368661</v>
      </c>
      <c r="AQ13" s="23">
        <f t="shared" si="10"/>
        <v>-885.07525323482196</v>
      </c>
      <c r="AR13" s="23">
        <f t="shared" si="10"/>
        <v>-982.179136816349</v>
      </c>
      <c r="AS13" s="23">
        <f t="shared" si="10"/>
        <v>-1086.3545543549817</v>
      </c>
      <c r="AT13" s="23">
        <f t="shared" si="10"/>
        <v>-1198.0422142908187</v>
      </c>
      <c r="AU13" s="8" t="s">
        <v>29</v>
      </c>
    </row>
    <row r="14" spans="1:47" ht="16.2" customHeight="1" x14ac:dyDescent="0.3">
      <c r="B14" s="24" t="s">
        <v>37</v>
      </c>
      <c r="C14" s="21">
        <f>C13/C10</f>
        <v>-0.29301376591644729</v>
      </c>
      <c r="D14" s="21">
        <f t="shared" ref="D14:AJ14" si="11">D13/D10</f>
        <v>-0.27427297221964125</v>
      </c>
      <c r="E14" s="21">
        <f t="shared" si="11"/>
        <v>-0.27572790067325342</v>
      </c>
      <c r="F14" s="21">
        <f t="shared" si="11"/>
        <v>-0.26701301582609388</v>
      </c>
      <c r="G14" s="14">
        <f>G13/G10</f>
        <v>-0.27540562727181817</v>
      </c>
      <c r="H14" s="21">
        <f t="shared" si="11"/>
        <v>-0.29371792171512823</v>
      </c>
      <c r="I14" s="21">
        <f t="shared" si="11"/>
        <v>-0.27053289356804666</v>
      </c>
      <c r="J14" s="21">
        <f t="shared" si="11"/>
        <v>-0.26266736682565384</v>
      </c>
      <c r="K14" s="21">
        <f t="shared" si="11"/>
        <v>-0.2720923504312483</v>
      </c>
      <c r="L14" s="14">
        <f>L13/L10</f>
        <v>-0.27235004807001051</v>
      </c>
      <c r="M14" s="21">
        <f t="shared" si="11"/>
        <v>-0.27087288679233057</v>
      </c>
      <c r="N14" s="21">
        <f t="shared" si="11"/>
        <v>-0.25972212053458277</v>
      </c>
      <c r="O14" s="21">
        <f t="shared" si="11"/>
        <v>-0.25852592934508423</v>
      </c>
      <c r="P14" s="21">
        <f t="shared" si="11"/>
        <v>-0.28145514329252919</v>
      </c>
      <c r="Q14" s="14">
        <f>Q13/Q10</f>
        <v>-0.26887420290452635</v>
      </c>
      <c r="R14" s="21">
        <f t="shared" si="11"/>
        <v>-0.27671543354194517</v>
      </c>
      <c r="S14" s="21">
        <f t="shared" si="11"/>
        <v>-0.25437781064522219</v>
      </c>
      <c r="T14" s="21">
        <f t="shared" si="11"/>
        <v>-0.25916262385792749</v>
      </c>
      <c r="U14" s="21">
        <f t="shared" si="11"/>
        <v>-0.26779404924106226</v>
      </c>
      <c r="V14" s="14">
        <f>V13/V10</f>
        <v>-0.26460025426891887</v>
      </c>
      <c r="W14" s="21">
        <f t="shared" si="11"/>
        <v>-0.27434139267587476</v>
      </c>
      <c r="X14" s="21">
        <f t="shared" si="11"/>
        <v>-0.2563711289098205</v>
      </c>
      <c r="Y14" s="21">
        <f t="shared" si="11"/>
        <v>-0.24173210230224595</v>
      </c>
      <c r="Z14" s="21">
        <f t="shared" si="11"/>
        <v>-0.25770835370424688</v>
      </c>
      <c r="AA14" s="14">
        <f>AA13/AA10</f>
        <v>-0.25687367659277927</v>
      </c>
      <c r="AB14" s="21">
        <f t="shared" si="11"/>
        <v>-0.26169294398489984</v>
      </c>
      <c r="AC14" s="21">
        <f t="shared" si="11"/>
        <v>-0.25448526468142751</v>
      </c>
      <c r="AD14" s="21">
        <f t="shared" si="11"/>
        <v>-0.25424561968690018</v>
      </c>
      <c r="AE14" s="21">
        <f t="shared" si="11"/>
        <v>-0.26079446532707684</v>
      </c>
      <c r="AF14" s="14">
        <f>AF13/AF10</f>
        <v>-0.25785291118306741</v>
      </c>
      <c r="AG14" s="21">
        <f t="shared" si="11"/>
        <v>-0.27188761074261336</v>
      </c>
      <c r="AH14" s="21">
        <f t="shared" si="11"/>
        <v>-0.27188761074261336</v>
      </c>
      <c r="AI14" s="21">
        <f t="shared" si="11"/>
        <v>-0.27188761074261325</v>
      </c>
      <c r="AJ14" s="21">
        <f t="shared" si="11"/>
        <v>-0.27188761074261325</v>
      </c>
      <c r="AK14" s="14">
        <f>AK13/AK10</f>
        <v>-0.27188761074261336</v>
      </c>
      <c r="AL14" s="14">
        <f>AL13/AL10</f>
        <v>-0.27188761074261331</v>
      </c>
      <c r="AM14" s="14">
        <f>AM13/AM10</f>
        <v>-0.27188761074261336</v>
      </c>
      <c r="AN14" s="14">
        <f t="shared" ref="AN14:AT14" si="12">AN13/AN10</f>
        <v>-0.27188761074261331</v>
      </c>
      <c r="AO14" s="14">
        <f t="shared" si="12"/>
        <v>-0.27188761074261336</v>
      </c>
      <c r="AP14" s="14">
        <f t="shared" si="12"/>
        <v>-0.27188761074261336</v>
      </c>
      <c r="AQ14" s="14">
        <f t="shared" si="12"/>
        <v>-0.27188761074261336</v>
      </c>
      <c r="AR14" s="14">
        <f t="shared" si="12"/>
        <v>-0.27188761074261336</v>
      </c>
      <c r="AS14" s="14">
        <f t="shared" si="12"/>
        <v>-0.27188761074261336</v>
      </c>
      <c r="AT14" s="14">
        <f t="shared" si="12"/>
        <v>-0.27188761074261336</v>
      </c>
      <c r="AU14" s="8" t="s">
        <v>29</v>
      </c>
    </row>
    <row r="15" spans="1:47" ht="7.95" customHeight="1" x14ac:dyDescent="0.3">
      <c r="G15" s="7"/>
      <c r="L15" s="7"/>
      <c r="Q15" s="7"/>
      <c r="V15" s="7"/>
      <c r="AA15" s="7"/>
      <c r="AF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8" t="s">
        <v>29</v>
      </c>
    </row>
    <row r="16" spans="1:47" ht="16.2" customHeight="1" x14ac:dyDescent="0.3">
      <c r="B16" s="5" t="s">
        <v>38</v>
      </c>
      <c r="C16" s="18">
        <v>56.134</v>
      </c>
      <c r="D16" s="18">
        <v>23.433</v>
      </c>
      <c r="E16" s="18">
        <v>66.268000000000001</v>
      </c>
      <c r="F16" s="18">
        <v>121.48452976999903</v>
      </c>
      <c r="G16" s="19">
        <f>SUM(C16:F16)</f>
        <v>267.31952976999901</v>
      </c>
      <c r="H16" s="18">
        <v>63.713000000000001</v>
      </c>
      <c r="I16" s="18">
        <v>94.438999999999993</v>
      </c>
      <c r="J16" s="18">
        <v>124.78101350999411</v>
      </c>
      <c r="K16" s="18">
        <v>151.65883087999984</v>
      </c>
      <c r="L16" s="19">
        <f>SUM(H16:K16)</f>
        <v>434.59184438999398</v>
      </c>
      <c r="M16" s="18">
        <v>112.524</v>
      </c>
      <c r="N16" s="18">
        <v>131.44300000000001</v>
      </c>
      <c r="O16" s="18">
        <v>138.14699999999999</v>
      </c>
      <c r="P16" s="18">
        <v>185.31200000000001</v>
      </c>
      <c r="Q16" s="19">
        <f>SUM(M16:P16)</f>
        <v>567.42600000000004</v>
      </c>
      <c r="R16" s="18">
        <v>141.69</v>
      </c>
      <c r="S16" s="18">
        <v>155.77538780000017</v>
      </c>
      <c r="T16" s="18">
        <v>164.27772481</v>
      </c>
      <c r="U16" s="18">
        <v>221.947</v>
      </c>
      <c r="V16" s="19">
        <f>SUM(R16:U16)</f>
        <v>683.69011261000014</v>
      </c>
      <c r="W16" s="18">
        <v>162.131</v>
      </c>
      <c r="X16" s="18">
        <v>192.00200000000001</v>
      </c>
      <c r="Y16" s="18">
        <v>204.33500000000001</v>
      </c>
      <c r="Z16" s="18">
        <v>273.291</v>
      </c>
      <c r="AA16" s="19">
        <f>SUM(W16:Z16)</f>
        <v>831.75900000000001</v>
      </c>
      <c r="AB16" s="18">
        <v>212.786</v>
      </c>
      <c r="AC16" s="18">
        <v>242.09100000000001</v>
      </c>
      <c r="AD16" s="18">
        <v>268.529</v>
      </c>
      <c r="AE16" s="18">
        <v>323.10599999999999</v>
      </c>
      <c r="AF16" s="19">
        <f>SUM(AB16:AE16)</f>
        <v>1046.5119999999999</v>
      </c>
      <c r="AG16" s="18">
        <v>251.15799999999999</v>
      </c>
      <c r="AH16" s="18">
        <f>AH199</f>
        <v>260.5478253310003</v>
      </c>
      <c r="AI16" s="18">
        <f t="shared" ref="AI16:AJ16" si="13">AI199</f>
        <v>275.09874709010955</v>
      </c>
      <c r="AJ16" s="18">
        <f t="shared" si="13"/>
        <v>367.44015180592601</v>
      </c>
      <c r="AK16" s="19">
        <f>SUM(AG16:AJ16)</f>
        <v>1154.2447242270359</v>
      </c>
      <c r="AL16" s="19">
        <f>AL199</f>
        <v>1317.0731240539301</v>
      </c>
      <c r="AM16" s="19">
        <f>AM199</f>
        <v>1497.9985530318072</v>
      </c>
      <c r="AN16" s="19">
        <f t="shared" ref="AN16:AT16" si="14">AN199</f>
        <v>1692.8591006534552</v>
      </c>
      <c r="AO16" s="19">
        <f t="shared" si="14"/>
        <v>1902.5457151692981</v>
      </c>
      <c r="AP16" s="19">
        <f t="shared" si="14"/>
        <v>2128.0011783822761</v>
      </c>
      <c r="AQ16" s="19">
        <f t="shared" si="14"/>
        <v>2370.22295920448</v>
      </c>
      <c r="AR16" s="19">
        <f t="shared" si="14"/>
        <v>2630.266219313336</v>
      </c>
      <c r="AS16" s="19">
        <f t="shared" si="14"/>
        <v>2909.2469788954472</v>
      </c>
      <c r="AT16" s="19">
        <f t="shared" si="14"/>
        <v>3208.3454508866284</v>
      </c>
      <c r="AU16" s="8" t="s">
        <v>29</v>
      </c>
    </row>
    <row r="17" spans="2:47" ht="16.2" customHeight="1" x14ac:dyDescent="0.3">
      <c r="B17" s="20" t="s">
        <v>35</v>
      </c>
      <c r="G17" s="7"/>
      <c r="H17" s="21">
        <f>H16/C16-1</f>
        <v>0.13501621120889307</v>
      </c>
      <c r="I17" s="21">
        <f>I16/D16-1</f>
        <v>3.0301711261895612</v>
      </c>
      <c r="J17" s="21">
        <f>J16/E16-1</f>
        <v>0.88297539551509185</v>
      </c>
      <c r="K17" s="21">
        <f>K16/F16-1</f>
        <v>0.24837978273553341</v>
      </c>
      <c r="L17" s="14">
        <f>L16/SUM(C16:F16)-1</f>
        <v>0.62573922213582978</v>
      </c>
      <c r="M17" s="21">
        <f>M16/H16-1</f>
        <v>0.76610738781724286</v>
      </c>
      <c r="N17" s="21">
        <f>N16/I16-1</f>
        <v>0.39182964665021891</v>
      </c>
      <c r="O17" s="21">
        <f>O16/J16-1</f>
        <v>0.10711554678096413</v>
      </c>
      <c r="P17" s="21">
        <f>P16/K16-1</f>
        <v>0.22190049154887825</v>
      </c>
      <c r="Q17" s="14">
        <f>Q16/SUM(H16:K16)-1</f>
        <v>0.3056526654255467</v>
      </c>
      <c r="R17" s="21">
        <f>R16/M16-1</f>
        <v>0.25919803775194628</v>
      </c>
      <c r="S17" s="21">
        <f>S16/N16-1</f>
        <v>0.1851174105886213</v>
      </c>
      <c r="T17" s="21">
        <f>T16/O16-1</f>
        <v>0.18915159076925314</v>
      </c>
      <c r="U17" s="21">
        <f>U16/P16-1</f>
        <v>0.19769361940942831</v>
      </c>
      <c r="V17" s="14">
        <f>V16/SUM(M16:P16)-1</f>
        <v>0.20489740091218955</v>
      </c>
      <c r="W17" s="21">
        <f>W16/R16-1</f>
        <v>0.14426565036346961</v>
      </c>
      <c r="X17" s="21">
        <f>X16/S16-1</f>
        <v>0.2325567133012767</v>
      </c>
      <c r="Y17" s="21">
        <f>Y16/T16-1</f>
        <v>0.24383875072733918</v>
      </c>
      <c r="Z17" s="21">
        <f>Z16/U16-1</f>
        <v>0.23133450778789522</v>
      </c>
      <c r="AA17" s="14">
        <f>AA16/SUM(R16:U16)-1</f>
        <v>0.21657310038424282</v>
      </c>
      <c r="AB17" s="21">
        <f>AB16/W16-1</f>
        <v>0.31243253911960078</v>
      </c>
      <c r="AC17" s="21">
        <f>AC16/X16-1</f>
        <v>0.26087749085947021</v>
      </c>
      <c r="AD17" s="21">
        <f>AD16/Y16-1</f>
        <v>0.31416056965277606</v>
      </c>
      <c r="AE17" s="21">
        <f>AE16/Z16-1</f>
        <v>0.18227823089673634</v>
      </c>
      <c r="AF17" s="14">
        <f>AF16/SUM(W16:Z16)-1</f>
        <v>0.25819137514592549</v>
      </c>
      <c r="AG17" s="21">
        <f>AG16/AB16-1</f>
        <v>0.18033141278091591</v>
      </c>
      <c r="AH17" s="21">
        <f>AH16/AC16-1</f>
        <v>7.6239204807284411E-2</v>
      </c>
      <c r="AI17" s="21">
        <f>AI16/AD16-1</f>
        <v>2.4465689330052109E-2</v>
      </c>
      <c r="AJ17" s="21">
        <f>AJ16/AE16-1</f>
        <v>0.13721240647318833</v>
      </c>
      <c r="AK17" s="14">
        <f>AK16/SUM(AB16:AE16)-1</f>
        <v>0.10294456654776618</v>
      </c>
      <c r="AL17" s="14">
        <f>AL16/AK16-1</f>
        <v>0.14106921730652533</v>
      </c>
      <c r="AM17" s="14">
        <f>AM16/AL16-1</f>
        <v>0.13736931205534852</v>
      </c>
      <c r="AN17" s="14">
        <f t="shared" ref="AN17:AT17" si="15">AN16/AM16-1</f>
        <v>0.13008059802679295</v>
      </c>
      <c r="AO17" s="14">
        <f t="shared" si="15"/>
        <v>0.12386536743365251</v>
      </c>
      <c r="AP17" s="14">
        <f t="shared" si="15"/>
        <v>0.11850199520326155</v>
      </c>
      <c r="AQ17" s="14">
        <f t="shared" si="15"/>
        <v>0.11382596179121629</v>
      </c>
      <c r="AR17" s="14">
        <f t="shared" si="15"/>
        <v>0.10971257328303596</v>
      </c>
      <c r="AS17" s="14">
        <f t="shared" si="15"/>
        <v>0.1060655980499734</v>
      </c>
      <c r="AT17" s="14">
        <f t="shared" si="15"/>
        <v>0.10280958411607255</v>
      </c>
      <c r="AU17" s="8" t="s">
        <v>29</v>
      </c>
    </row>
    <row r="18" spans="2:47" ht="7.95" customHeight="1" x14ac:dyDescent="0.3">
      <c r="G18" s="7"/>
      <c r="L18" s="7"/>
      <c r="Q18" s="7"/>
      <c r="V18" s="7"/>
      <c r="AA18" s="7"/>
      <c r="AF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8" t="s">
        <v>29</v>
      </c>
    </row>
    <row r="19" spans="2:47" ht="16.2" customHeight="1" x14ac:dyDescent="0.3">
      <c r="B19" s="20" t="s">
        <v>39</v>
      </c>
      <c r="C19" s="22">
        <f t="shared" ref="C19:AG19" si="16">C519</f>
        <v>-26.721</v>
      </c>
      <c r="D19" s="22">
        <f t="shared" si="16"/>
        <v>-9.6890000000000001</v>
      </c>
      <c r="E19" s="22">
        <f t="shared" si="16"/>
        <v>-27.263999999999999</v>
      </c>
      <c r="F19" s="22">
        <f t="shared" si="16"/>
        <v>-47.755108499999984</v>
      </c>
      <c r="G19" s="23">
        <f>SUM(C19:F19)</f>
        <v>-111.42910849999998</v>
      </c>
      <c r="H19" s="22">
        <f t="shared" si="16"/>
        <v>-22.909999999999997</v>
      </c>
      <c r="I19" s="22">
        <f t="shared" si="16"/>
        <v>-38.131690039999988</v>
      </c>
      <c r="J19" s="22">
        <f t="shared" si="16"/>
        <v>-54.499535880000124</v>
      </c>
      <c r="K19" s="22">
        <f t="shared" si="16"/>
        <v>-59.000390660000093</v>
      </c>
      <c r="L19" s="23">
        <f>SUM(H19:K19)</f>
        <v>-174.54161658000021</v>
      </c>
      <c r="M19" s="22">
        <f t="shared" si="16"/>
        <v>-44.857089699999982</v>
      </c>
      <c r="N19" s="22">
        <f t="shared" si="16"/>
        <v>-60.145000000000003</v>
      </c>
      <c r="O19" s="22">
        <f t="shared" si="16"/>
        <v>-58.781319050000029</v>
      </c>
      <c r="P19" s="22">
        <f t="shared" si="16"/>
        <v>-76.366</v>
      </c>
      <c r="Q19" s="23">
        <f>SUM(M19:P19)</f>
        <v>-240.14940875000002</v>
      </c>
      <c r="R19" s="22">
        <f t="shared" si="16"/>
        <v>-57.854952340000004</v>
      </c>
      <c r="S19" s="22">
        <f t="shared" si="16"/>
        <v>-66.331999999999994</v>
      </c>
      <c r="T19" s="22">
        <f t="shared" si="16"/>
        <v>-69.141999999999996</v>
      </c>
      <c r="U19" s="22">
        <f t="shared" si="16"/>
        <v>-93.332376250000152</v>
      </c>
      <c r="V19" s="23">
        <f>SUM(R19:U19)</f>
        <v>-286.66132859000015</v>
      </c>
      <c r="W19" s="22">
        <f t="shared" si="16"/>
        <v>-65.910136350000059</v>
      </c>
      <c r="X19" s="22">
        <f t="shared" si="16"/>
        <v>-84.516999999999996</v>
      </c>
      <c r="Y19" s="22">
        <f t="shared" si="16"/>
        <v>-90.405000000000001</v>
      </c>
      <c r="Z19" s="22">
        <f t="shared" si="16"/>
        <v>-118.12700055000003</v>
      </c>
      <c r="AA19" s="23">
        <f>SUM(W19:Z19)</f>
        <v>-358.95913690000009</v>
      </c>
      <c r="AB19" s="22">
        <f t="shared" si="16"/>
        <v>-82.463218960000091</v>
      </c>
      <c r="AC19" s="22">
        <f t="shared" si="16"/>
        <v>-102.75099999999999</v>
      </c>
      <c r="AD19" s="22">
        <f t="shared" si="16"/>
        <v>-126.11759786999997</v>
      </c>
      <c r="AE19" s="22">
        <f t="shared" si="16"/>
        <v>-131.97300000000001</v>
      </c>
      <c r="AF19" s="23">
        <f>SUM(AB19:AE19)</f>
        <v>-443.30481683000011</v>
      </c>
      <c r="AG19" s="22">
        <f t="shared" si="16"/>
        <v>-100.39999999999999</v>
      </c>
      <c r="AH19" s="22">
        <f t="shared" ref="AH19:AJ19" si="17">AH21-AH16</f>
        <v>-103.50219776573405</v>
      </c>
      <c r="AI19" s="22">
        <f t="shared" si="17"/>
        <v>-108.59478078436175</v>
      </c>
      <c r="AJ19" s="22">
        <f t="shared" si="17"/>
        <v>-144.12779899091586</v>
      </c>
      <c r="AK19" s="23">
        <f>SUM(AG19:AJ19)</f>
        <v>-456.62477754101167</v>
      </c>
      <c r="AL19" s="23">
        <f>AL21-AL16</f>
        <v>-507.86974627094924</v>
      </c>
      <c r="AM19" s="23">
        <f>AM21-AM16</f>
        <v>-562.65547839959595</v>
      </c>
      <c r="AN19" s="23">
        <f t="shared" ref="AN19:AT19" si="18">AN21-AN16</f>
        <v>-618.91744850633199</v>
      </c>
      <c r="AO19" s="23">
        <f t="shared" si="18"/>
        <v>-676.55442852497458</v>
      </c>
      <c r="AP19" s="23">
        <f t="shared" si="18"/>
        <v>-735.44746638496372</v>
      </c>
      <c r="AQ19" s="23">
        <f t="shared" si="18"/>
        <v>-795.45825200110062</v>
      </c>
      <c r="AR19" s="23">
        <f t="shared" si="18"/>
        <v>-856.4273615742336</v>
      </c>
      <c r="AS19" s="23">
        <f t="shared" si="18"/>
        <v>-918.172372077011</v>
      </c>
      <c r="AT19" s="23">
        <f t="shared" si="18"/>
        <v>-980.48583728824997</v>
      </c>
      <c r="AU19" s="8" t="s">
        <v>29</v>
      </c>
    </row>
    <row r="20" spans="2:47" ht="7.95" customHeight="1" x14ac:dyDescent="0.3">
      <c r="B20" s="20"/>
      <c r="G20" s="7"/>
      <c r="L20" s="7"/>
      <c r="Q20" s="7"/>
      <c r="V20" s="7"/>
      <c r="AA20" s="7"/>
      <c r="AF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8" t="s">
        <v>29</v>
      </c>
    </row>
    <row r="21" spans="2:47" ht="16.2" customHeight="1" x14ac:dyDescent="0.3">
      <c r="B21" s="25" t="s">
        <v>40</v>
      </c>
      <c r="C21" s="18">
        <f>C16+C19</f>
        <v>29.413</v>
      </c>
      <c r="D21" s="18">
        <f t="shared" ref="D21:AE21" si="19">D16+D19</f>
        <v>13.744</v>
      </c>
      <c r="E21" s="18">
        <f t="shared" si="19"/>
        <v>39.004000000000005</v>
      </c>
      <c r="F21" s="18">
        <f t="shared" si="19"/>
        <v>73.729421269999051</v>
      </c>
      <c r="G21" s="19">
        <f>SUM(C21:F21)</f>
        <v>155.89042126999905</v>
      </c>
      <c r="H21" s="18">
        <f t="shared" si="19"/>
        <v>40.803000000000004</v>
      </c>
      <c r="I21" s="18">
        <f t="shared" si="19"/>
        <v>56.307309960000005</v>
      </c>
      <c r="J21" s="18">
        <f t="shared" si="19"/>
        <v>70.281477629993987</v>
      </c>
      <c r="K21" s="18">
        <f t="shared" si="19"/>
        <v>92.658440219999747</v>
      </c>
      <c r="L21" s="19">
        <f>SUM(H21:K21)</f>
        <v>260.05022780999377</v>
      </c>
      <c r="M21" s="18">
        <f t="shared" si="19"/>
        <v>67.666910300000012</v>
      </c>
      <c r="N21" s="18">
        <f t="shared" si="19"/>
        <v>71.298000000000002</v>
      </c>
      <c r="O21" s="18">
        <f t="shared" si="19"/>
        <v>79.365680949999955</v>
      </c>
      <c r="P21" s="18">
        <f t="shared" si="19"/>
        <v>108.94600000000001</v>
      </c>
      <c r="Q21" s="19">
        <f>SUM(M21:P21)</f>
        <v>327.27659124999997</v>
      </c>
      <c r="R21" s="18">
        <f t="shared" si="19"/>
        <v>83.835047659999987</v>
      </c>
      <c r="S21" s="18">
        <f t="shared" si="19"/>
        <v>89.443387800000181</v>
      </c>
      <c r="T21" s="18">
        <f t="shared" si="19"/>
        <v>95.135724809999999</v>
      </c>
      <c r="U21" s="18">
        <f t="shared" si="19"/>
        <v>128.61462374999985</v>
      </c>
      <c r="V21" s="19">
        <f>SUM(R21:U21)</f>
        <v>397.02878401999999</v>
      </c>
      <c r="W21" s="18">
        <f t="shared" si="19"/>
        <v>96.220863649999941</v>
      </c>
      <c r="X21" s="18">
        <f t="shared" si="19"/>
        <v>107.48500000000001</v>
      </c>
      <c r="Y21" s="18">
        <f t="shared" si="19"/>
        <v>113.93</v>
      </c>
      <c r="Z21" s="18">
        <f t="shared" si="19"/>
        <v>155.16399944999995</v>
      </c>
      <c r="AA21" s="19">
        <f>SUM(W21:Z21)</f>
        <v>472.79986309999992</v>
      </c>
      <c r="AB21" s="18">
        <f t="shared" si="19"/>
        <v>130.32278103999991</v>
      </c>
      <c r="AC21" s="18">
        <f t="shared" si="19"/>
        <v>139.34000000000003</v>
      </c>
      <c r="AD21" s="18">
        <f t="shared" si="19"/>
        <v>142.41140213000003</v>
      </c>
      <c r="AE21" s="18">
        <f t="shared" si="19"/>
        <v>191.13299999999998</v>
      </c>
      <c r="AF21" s="19">
        <f>SUM(AB21:AE21)</f>
        <v>603.20718317000001</v>
      </c>
      <c r="AG21" s="18">
        <f t="shared" ref="AG21" si="20">AG16+AG19</f>
        <v>150.75799999999998</v>
      </c>
      <c r="AH21" s="18">
        <f t="shared" ref="AH21:AJ21" si="21">AH22*AH16</f>
        <v>157.04562756526624</v>
      </c>
      <c r="AI21" s="18">
        <f t="shared" si="21"/>
        <v>166.50396630574781</v>
      </c>
      <c r="AJ21" s="18">
        <f t="shared" si="21"/>
        <v>223.31235281501014</v>
      </c>
      <c r="AK21" s="19">
        <f>SUM(AG21:AJ21)</f>
        <v>697.61994668602415</v>
      </c>
      <c r="AL21" s="19">
        <f>AL22*AL16</f>
        <v>809.20337778298085</v>
      </c>
      <c r="AM21" s="19">
        <f>AM22*AM16</f>
        <v>935.34307463221126</v>
      </c>
      <c r="AN21" s="19">
        <f t="shared" ref="AN21:AT21" si="22">AN22*AN16</f>
        <v>1073.9416521471232</v>
      </c>
      <c r="AO21" s="19">
        <f t="shared" si="22"/>
        <v>1225.9912866443235</v>
      </c>
      <c r="AP21" s="19">
        <f t="shared" si="22"/>
        <v>1392.5537119973123</v>
      </c>
      <c r="AQ21" s="19">
        <f t="shared" si="22"/>
        <v>1574.7647072033794</v>
      </c>
      <c r="AR21" s="19">
        <f t="shared" si="22"/>
        <v>1773.8388577391024</v>
      </c>
      <c r="AS21" s="19">
        <f t="shared" si="22"/>
        <v>1991.0746068184362</v>
      </c>
      <c r="AT21" s="19">
        <f t="shared" si="22"/>
        <v>2227.8596135983785</v>
      </c>
      <c r="AU21" s="8" t="s">
        <v>29</v>
      </c>
    </row>
    <row r="22" spans="2:47" ht="16.2" customHeight="1" x14ac:dyDescent="0.3">
      <c r="B22" s="20" t="s">
        <v>41</v>
      </c>
      <c r="C22" s="21">
        <f>C21/C16</f>
        <v>0.52397833754943524</v>
      </c>
      <c r="D22" s="21">
        <f t="shared" ref="D22:AG22" si="23">D21/D16</f>
        <v>0.58652327913626079</v>
      </c>
      <c r="E22" s="21">
        <f t="shared" si="23"/>
        <v>0.58857970664574155</v>
      </c>
      <c r="F22" s="21">
        <f t="shared" si="23"/>
        <v>0.60690378774636999</v>
      </c>
      <c r="G22" s="14">
        <f>G21/G16</f>
        <v>0.58316136274864294</v>
      </c>
      <c r="H22" s="21">
        <f t="shared" si="23"/>
        <v>0.64041875284478844</v>
      </c>
      <c r="I22" s="21">
        <f t="shared" si="23"/>
        <v>0.59622941750759761</v>
      </c>
      <c r="J22" s="21">
        <f t="shared" si="23"/>
        <v>0.56323855411195967</v>
      </c>
      <c r="K22" s="21">
        <f t="shared" si="23"/>
        <v>0.61096633596836714</v>
      </c>
      <c r="L22" s="14">
        <f>L21/L16</f>
        <v>0.59837806706890229</v>
      </c>
      <c r="M22" s="21">
        <f t="shared" si="23"/>
        <v>0.60135535796807804</v>
      </c>
      <c r="N22" s="21">
        <f t="shared" si="23"/>
        <v>0.54242523375151208</v>
      </c>
      <c r="O22" s="21">
        <f t="shared" si="23"/>
        <v>0.57450166091192689</v>
      </c>
      <c r="P22" s="21">
        <f t="shared" si="23"/>
        <v>0.58790580210671739</v>
      </c>
      <c r="Q22" s="14">
        <f>Q21/Q16</f>
        <v>0.57677404851029024</v>
      </c>
      <c r="R22" s="21">
        <f t="shared" si="23"/>
        <v>0.59167935394170368</v>
      </c>
      <c r="S22" s="21">
        <f t="shared" si="23"/>
        <v>0.57418176942583787</v>
      </c>
      <c r="T22" s="21">
        <f t="shared" si="23"/>
        <v>0.57911518387554906</v>
      </c>
      <c r="U22" s="21">
        <f t="shared" si="23"/>
        <v>0.57948349718626446</v>
      </c>
      <c r="V22" s="14">
        <f>V21/V16</f>
        <v>0.58071453235492165</v>
      </c>
      <c r="W22" s="21">
        <f t="shared" si="23"/>
        <v>0.59347603882045963</v>
      </c>
      <c r="X22" s="21">
        <f t="shared" si="23"/>
        <v>0.5598118769596151</v>
      </c>
      <c r="Y22" s="21">
        <f t="shared" si="23"/>
        <v>0.55756478332150639</v>
      </c>
      <c r="Z22" s="21">
        <f t="shared" si="23"/>
        <v>0.56776110245123312</v>
      </c>
      <c r="AA22" s="14">
        <f>AA21/AA16</f>
        <v>0.56843372070515608</v>
      </c>
      <c r="AB22" s="21">
        <f t="shared" si="23"/>
        <v>0.61245937721466592</v>
      </c>
      <c r="AC22" s="21">
        <f t="shared" si="23"/>
        <v>0.57556869111202003</v>
      </c>
      <c r="AD22" s="21">
        <f t="shared" si="23"/>
        <v>0.53033900297547021</v>
      </c>
      <c r="AE22" s="21">
        <f t="shared" si="23"/>
        <v>0.59154890345583178</v>
      </c>
      <c r="AF22" s="14">
        <f>AF21/AF16</f>
        <v>0.57639777008768178</v>
      </c>
      <c r="AG22" s="21">
        <f t="shared" si="23"/>
        <v>0.60025163442932328</v>
      </c>
      <c r="AH22" s="26">
        <f>AG22+0.25%</f>
        <v>0.60275163442932322</v>
      </c>
      <c r="AI22" s="26">
        <f t="shared" ref="AI22:AJ22" si="24">AH22+0.25%</f>
        <v>0.60525163442932317</v>
      </c>
      <c r="AJ22" s="26">
        <f t="shared" si="24"/>
        <v>0.60775163442932312</v>
      </c>
      <c r="AK22" s="14">
        <f>AK21/AK16</f>
        <v>0.6043951789800901</v>
      </c>
      <c r="AL22" s="27">
        <f>AK22+0.01</f>
        <v>0.61439517898009011</v>
      </c>
      <c r="AM22" s="27">
        <f>AL22+0.01</f>
        <v>0.62439517898009012</v>
      </c>
      <c r="AN22" s="27">
        <f t="shared" ref="AN22:AT22" si="25">AM22+0.01</f>
        <v>0.63439517898009012</v>
      </c>
      <c r="AO22" s="27">
        <f t="shared" si="25"/>
        <v>0.64439517898009013</v>
      </c>
      <c r="AP22" s="27">
        <f t="shared" si="25"/>
        <v>0.65439517898009014</v>
      </c>
      <c r="AQ22" s="27">
        <f t="shared" si="25"/>
        <v>0.66439517898009015</v>
      </c>
      <c r="AR22" s="27">
        <f t="shared" si="25"/>
        <v>0.67439517898009016</v>
      </c>
      <c r="AS22" s="27">
        <f t="shared" si="25"/>
        <v>0.68439517898009017</v>
      </c>
      <c r="AT22" s="27">
        <f t="shared" si="25"/>
        <v>0.69439517898009018</v>
      </c>
      <c r="AU22" s="8" t="s">
        <v>29</v>
      </c>
    </row>
    <row r="23" spans="2:47" ht="7.95" customHeight="1" x14ac:dyDescent="0.3">
      <c r="B23" s="20"/>
      <c r="G23" s="7"/>
      <c r="L23" s="7"/>
      <c r="Q23" s="7"/>
      <c r="V23" s="7"/>
      <c r="AA23" s="7"/>
      <c r="AF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8" t="s">
        <v>29</v>
      </c>
    </row>
    <row r="24" spans="2:47" ht="16.2" customHeight="1" x14ac:dyDescent="0.3">
      <c r="B24" s="20" t="s">
        <v>42</v>
      </c>
      <c r="C24" s="22">
        <f>C520</f>
        <v>-24.898</v>
      </c>
      <c r="D24" s="22">
        <f t="shared" ref="D24:AE24" si="26">D520</f>
        <v>-14.406000000000002</v>
      </c>
      <c r="E24" s="22">
        <f t="shared" si="26"/>
        <v>-25.669999999999998</v>
      </c>
      <c r="F24" s="22">
        <f t="shared" si="26"/>
        <v>-39.466934159470995</v>
      </c>
      <c r="G24" s="23">
        <f>SUM(C24:F24)</f>
        <v>-104.440934159471</v>
      </c>
      <c r="H24" s="22">
        <f t="shared" si="26"/>
        <v>-29.113</v>
      </c>
      <c r="I24" s="22">
        <f t="shared" si="26"/>
        <v>-36.716264759999959</v>
      </c>
      <c r="J24" s="22">
        <f t="shared" si="26"/>
        <v>-44.101063659931967</v>
      </c>
      <c r="K24" s="22">
        <f t="shared" si="26"/>
        <v>-48.663341002899934</v>
      </c>
      <c r="L24" s="23">
        <f>SUM(H24:K24)</f>
        <v>-158.59366942283185</v>
      </c>
      <c r="M24" s="22">
        <f t="shared" si="26"/>
        <v>-38.097991849999929</v>
      </c>
      <c r="N24" s="22">
        <f t="shared" si="26"/>
        <v>-42.380251650000005</v>
      </c>
      <c r="O24" s="22">
        <f t="shared" si="26"/>
        <v>-45.374633509523967</v>
      </c>
      <c r="P24" s="22">
        <f t="shared" si="26"/>
        <v>-61.495478258077966</v>
      </c>
      <c r="Q24" s="23">
        <f>SUM(M24:P24)</f>
        <v>-187.34835526760185</v>
      </c>
      <c r="R24" s="22">
        <f t="shared" si="26"/>
        <v>-46.006</v>
      </c>
      <c r="S24" s="22">
        <f t="shared" si="26"/>
        <v>-49.672000000000004</v>
      </c>
      <c r="T24" s="22">
        <f t="shared" si="26"/>
        <v>-53.847999999999992</v>
      </c>
      <c r="U24" s="22">
        <f t="shared" si="26"/>
        <v>-75.876999999999995</v>
      </c>
      <c r="V24" s="23">
        <f>SUM(R24:U24)</f>
        <v>-225.40299999999996</v>
      </c>
      <c r="W24" s="22">
        <f t="shared" si="26"/>
        <v>-55.114999999999995</v>
      </c>
      <c r="X24" s="22">
        <f t="shared" si="26"/>
        <v>-63.304999999999993</v>
      </c>
      <c r="Y24" s="22">
        <f t="shared" si="26"/>
        <v>-69.697375280000003</v>
      </c>
      <c r="Z24" s="22">
        <f t="shared" si="26"/>
        <v>-92.195999999999998</v>
      </c>
      <c r="AA24" s="23">
        <f>SUM(W24:Z24)</f>
        <v>-280.31337527999995</v>
      </c>
      <c r="AB24" s="22">
        <f t="shared" si="26"/>
        <v>-72.22597917645497</v>
      </c>
      <c r="AC24" s="22">
        <f t="shared" si="26"/>
        <v>-80.662000000000006</v>
      </c>
      <c r="AD24" s="22">
        <f t="shared" si="26"/>
        <v>-87.259746536565046</v>
      </c>
      <c r="AE24" s="22">
        <f t="shared" si="26"/>
        <v>-107.428</v>
      </c>
      <c r="AF24" s="23">
        <f>SUM(AB24:AE24)</f>
        <v>-347.57572571302001</v>
      </c>
      <c r="AG24" s="22">
        <f t="shared" ref="AG24" si="27">AG520</f>
        <v>-86.444000000000003</v>
      </c>
      <c r="AH24" s="22">
        <f t="shared" ref="AH24:AJ24" si="28">AH25*AH16</f>
        <v>-89.675806515870448</v>
      </c>
      <c r="AI24" s="22">
        <f t="shared" si="28"/>
        <v>-94.683968232974593</v>
      </c>
      <c r="AJ24" s="22">
        <f t="shared" si="28"/>
        <v>-126.46619451783926</v>
      </c>
      <c r="AK24" s="23">
        <f>SUM(AG24:AJ24)</f>
        <v>-397.26996926668431</v>
      </c>
      <c r="AL24" s="23">
        <f>AL25*AL16</f>
        <v>-453.31253289052285</v>
      </c>
      <c r="AM24" s="23">
        <f>AM25*AM16</f>
        <v>-515.58376367976155</v>
      </c>
      <c r="AN24" s="23">
        <f t="shared" ref="AN24:AT24" si="29">AN25*AN16</f>
        <v>-582.65120799212968</v>
      </c>
      <c r="AO24" s="23">
        <f t="shared" si="29"/>
        <v>-654.82151395573635</v>
      </c>
      <c r="AP24" s="23">
        <f t="shared" si="29"/>
        <v>-732.41916986151148</v>
      </c>
      <c r="AQ24" s="23">
        <f t="shared" si="29"/>
        <v>-815.78748630532209</v>
      </c>
      <c r="AR24" s="23">
        <f t="shared" si="29"/>
        <v>-905.28963067997847</v>
      </c>
      <c r="AS24" s="23">
        <f t="shared" si="29"/>
        <v>-1001.3097167664898</v>
      </c>
      <c r="AT24" s="23">
        <f t="shared" si="29"/>
        <v>-1104.2539523186349</v>
      </c>
      <c r="AU24" s="8" t="s">
        <v>29</v>
      </c>
    </row>
    <row r="25" spans="2:47" ht="16.2" customHeight="1" x14ac:dyDescent="0.3">
      <c r="B25" s="24" t="s">
        <v>43</v>
      </c>
      <c r="C25" s="21">
        <f>C24/C$16</f>
        <v>-0.44354580111875153</v>
      </c>
      <c r="D25" s="21">
        <f t="shared" ref="D25:AG25" si="30">D24/D$16</f>
        <v>-0.61477403661503016</v>
      </c>
      <c r="E25" s="21">
        <f t="shared" si="30"/>
        <v>-0.38736645137924786</v>
      </c>
      <c r="F25" s="21">
        <f t="shared" si="30"/>
        <v>-0.32487209881119755</v>
      </c>
      <c r="G25" s="14">
        <f>G24/G16</f>
        <v>-0.39069698442658379</v>
      </c>
      <c r="H25" s="21">
        <f t="shared" si="30"/>
        <v>-0.45693971403010375</v>
      </c>
      <c r="I25" s="21">
        <f t="shared" si="30"/>
        <v>-0.38878286258854883</v>
      </c>
      <c r="J25" s="21">
        <f t="shared" si="30"/>
        <v>-0.35342767637000938</v>
      </c>
      <c r="K25" s="21">
        <f t="shared" si="30"/>
        <v>-0.32087377121748245</v>
      </c>
      <c r="L25" s="14">
        <f>L24/L16</f>
        <v>-0.36492555364318591</v>
      </c>
      <c r="M25" s="21">
        <f t="shared" si="30"/>
        <v>-0.338576586772599</v>
      </c>
      <c r="N25" s="21">
        <f t="shared" si="30"/>
        <v>-0.32242304002495381</v>
      </c>
      <c r="O25" s="21">
        <f t="shared" si="30"/>
        <v>-0.32845181950765467</v>
      </c>
      <c r="P25" s="21">
        <f t="shared" si="30"/>
        <v>-0.3318483328552817</v>
      </c>
      <c r="Q25" s="14">
        <f>Q24/Q16</f>
        <v>-0.33017231368954159</v>
      </c>
      <c r="R25" s="21">
        <f t="shared" si="30"/>
        <v>-0.32469475615780929</v>
      </c>
      <c r="S25" s="21">
        <f t="shared" si="30"/>
        <v>-0.31886937148103156</v>
      </c>
      <c r="T25" s="21">
        <f t="shared" si="30"/>
        <v>-0.32778637555565981</v>
      </c>
      <c r="U25" s="21">
        <f t="shared" si="30"/>
        <v>-0.34186990587843041</v>
      </c>
      <c r="V25" s="14">
        <f>V24/V16</f>
        <v>-0.32968591448473589</v>
      </c>
      <c r="W25" s="21">
        <f t="shared" si="30"/>
        <v>-0.33994115869266206</v>
      </c>
      <c r="X25" s="21">
        <f t="shared" si="30"/>
        <v>-0.32971010718638344</v>
      </c>
      <c r="Y25" s="21">
        <f t="shared" si="30"/>
        <v>-0.34109367107935495</v>
      </c>
      <c r="Z25" s="21">
        <f t="shared" si="30"/>
        <v>-0.33735468786019296</v>
      </c>
      <c r="AA25" s="14">
        <f>AA24/AA16</f>
        <v>-0.33701273479457383</v>
      </c>
      <c r="AB25" s="21">
        <f t="shared" si="30"/>
        <v>-0.33943012781129855</v>
      </c>
      <c r="AC25" s="21">
        <f t="shared" si="30"/>
        <v>-0.33318875959866334</v>
      </c>
      <c r="AD25" s="21">
        <f t="shared" si="30"/>
        <v>-0.32495464749269182</v>
      </c>
      <c r="AE25" s="21">
        <f t="shared" si="30"/>
        <v>-0.33248531441694057</v>
      </c>
      <c r="AF25" s="14">
        <f>AF24/AF16</f>
        <v>-0.33212779759144667</v>
      </c>
      <c r="AG25" s="21">
        <f t="shared" si="30"/>
        <v>-0.3441817501333822</v>
      </c>
      <c r="AH25" s="26">
        <f t="shared" ref="AH25:AJ25" si="31">AG25</f>
        <v>-0.3441817501333822</v>
      </c>
      <c r="AI25" s="26">
        <f t="shared" si="31"/>
        <v>-0.3441817501333822</v>
      </c>
      <c r="AJ25" s="26">
        <f t="shared" si="31"/>
        <v>-0.3441817501333822</v>
      </c>
      <c r="AK25" s="14">
        <f>AK24/AK16</f>
        <v>-0.3441817501333822</v>
      </c>
      <c r="AL25" s="27">
        <f>AK25</f>
        <v>-0.3441817501333822</v>
      </c>
      <c r="AM25" s="27">
        <f>AL25</f>
        <v>-0.3441817501333822</v>
      </c>
      <c r="AN25" s="27">
        <f t="shared" ref="AN25:AT25" si="32">AM25</f>
        <v>-0.3441817501333822</v>
      </c>
      <c r="AO25" s="27">
        <f t="shared" si="32"/>
        <v>-0.3441817501333822</v>
      </c>
      <c r="AP25" s="27">
        <f t="shared" si="32"/>
        <v>-0.3441817501333822</v>
      </c>
      <c r="AQ25" s="27">
        <f t="shared" si="32"/>
        <v>-0.3441817501333822</v>
      </c>
      <c r="AR25" s="27">
        <f t="shared" si="32"/>
        <v>-0.3441817501333822</v>
      </c>
      <c r="AS25" s="27">
        <f t="shared" si="32"/>
        <v>-0.3441817501333822</v>
      </c>
      <c r="AT25" s="27">
        <f t="shared" si="32"/>
        <v>-0.3441817501333822</v>
      </c>
      <c r="AU25" s="8" t="s">
        <v>29</v>
      </c>
    </row>
    <row r="26" spans="2:47" ht="7.95" customHeight="1" x14ac:dyDescent="0.3">
      <c r="B26" s="24"/>
      <c r="G26" s="7"/>
      <c r="L26" s="7"/>
      <c r="Q26" s="7"/>
      <c r="V26" s="7"/>
      <c r="AA26" s="7"/>
      <c r="AF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8" t="s">
        <v>29</v>
      </c>
    </row>
    <row r="27" spans="2:47" ht="16.2" customHeight="1" x14ac:dyDescent="0.3">
      <c r="B27" s="20" t="s">
        <v>44</v>
      </c>
      <c r="C27" s="22">
        <v>-0.308</v>
      </c>
      <c r="D27" s="22">
        <v>1.7270000000000001</v>
      </c>
      <c r="E27" s="22">
        <v>-0.41599999999999998</v>
      </c>
      <c r="F27" s="22">
        <v>-0.91179633000000027</v>
      </c>
      <c r="G27" s="23">
        <f>SUM(C27:F27)</f>
        <v>9.1203669999999848E-2</v>
      </c>
      <c r="H27" s="22">
        <v>-0.7</v>
      </c>
      <c r="I27" s="22">
        <v>0.56499999999999995</v>
      </c>
      <c r="J27" s="22">
        <v>0.85291428999999974</v>
      </c>
      <c r="K27" s="22">
        <v>-0.29653536000000014</v>
      </c>
      <c r="L27" s="23">
        <f>SUM(H27:K27)</f>
        <v>0.4213789299999996</v>
      </c>
      <c r="M27" s="22">
        <v>2.8028769700000011</v>
      </c>
      <c r="N27" s="22">
        <v>-0.123</v>
      </c>
      <c r="O27" s="22">
        <v>0.248</v>
      </c>
      <c r="P27" s="22">
        <v>0.90500000000000003</v>
      </c>
      <c r="Q27" s="23">
        <f>SUM(M27:P27)</f>
        <v>3.8328769700000018</v>
      </c>
      <c r="R27" s="22">
        <v>-5.0366129999999586E-2</v>
      </c>
      <c r="S27" s="22">
        <v>1.0992735800000006</v>
      </c>
      <c r="T27" s="22">
        <v>-7.3513499999999683E-3</v>
      </c>
      <c r="U27" s="22">
        <v>1.0629999999999999</v>
      </c>
      <c r="V27" s="23">
        <f>SUM(R27:U27)</f>
        <v>2.1045561000000008</v>
      </c>
      <c r="W27" s="22">
        <v>0.30744589000000189</v>
      </c>
      <c r="X27" s="22">
        <v>-0.33900000000000002</v>
      </c>
      <c r="Y27" s="22">
        <v>0.77443631000000046</v>
      </c>
      <c r="Z27" s="22">
        <v>2.9960740400000003</v>
      </c>
      <c r="AA27" s="23">
        <f>SUM(W27:Z27)</f>
        <v>3.7389562400000029</v>
      </c>
      <c r="AB27" s="22">
        <v>0.48981087999999851</v>
      </c>
      <c r="AC27" s="22">
        <v>-0.38</v>
      </c>
      <c r="AD27" s="22">
        <v>1.7210000000000001</v>
      </c>
      <c r="AE27" s="22">
        <v>-8.0489999999999995</v>
      </c>
      <c r="AF27" s="23">
        <f>SUM(AB27:AE27)</f>
        <v>-6.2181891200000008</v>
      </c>
      <c r="AG27" s="22">
        <v>-0.52400000000000002</v>
      </c>
      <c r="AH27" s="22">
        <f>AH28*AH16</f>
        <v>-0.54359033147836888</v>
      </c>
      <c r="AI27" s="22">
        <f t="shared" ref="AI27:AJ27" si="33">AI28*AI16</f>
        <v>-0.57394844470499617</v>
      </c>
      <c r="AJ27" s="22">
        <f t="shared" si="33"/>
        <v>-0.76660365007805953</v>
      </c>
      <c r="AK27" s="23">
        <f>SUM(AG27:AJ27)</f>
        <v>-2.4081424262614242</v>
      </c>
      <c r="AL27" s="23">
        <f>AL28*AL16</f>
        <v>-2.7478571934967606</v>
      </c>
      <c r="AM27" s="23">
        <f>AM28*AM16</f>
        <v>-3.1253284457937514</v>
      </c>
      <c r="AN27" s="23">
        <f t="shared" ref="AN27:AT27" si="34">AN28*AN16</f>
        <v>-3.53187303905275</v>
      </c>
      <c r="AO27" s="23">
        <f t="shared" si="34"/>
        <v>-3.9693497907640296</v>
      </c>
      <c r="AP27" s="23">
        <f t="shared" si="34"/>
        <v>-4.4397256606292164</v>
      </c>
      <c r="AQ27" s="23">
        <f t="shared" si="34"/>
        <v>-4.9450817040394792</v>
      </c>
      <c r="AR27" s="23">
        <f t="shared" si="34"/>
        <v>-5.4876193428845115</v>
      </c>
      <c r="AS27" s="23">
        <f t="shared" si="34"/>
        <v>-6.0696669703581581</v>
      </c>
      <c r="AT27" s="23">
        <f t="shared" si="34"/>
        <v>-6.6936869073037419</v>
      </c>
      <c r="AU27" s="8" t="s">
        <v>29</v>
      </c>
    </row>
    <row r="28" spans="2:47" ht="16.2" customHeight="1" x14ac:dyDescent="0.3">
      <c r="B28" s="24" t="s">
        <v>43</v>
      </c>
      <c r="C28" s="21">
        <f>C27/C$16</f>
        <v>-5.4868707022481915E-3</v>
      </c>
      <c r="D28" s="21">
        <f t="shared" ref="D28:F28" si="35">D27/D$16</f>
        <v>7.3699483634191099E-2</v>
      </c>
      <c r="E28" s="21">
        <f t="shared" si="35"/>
        <v>-6.2775396873302348E-3</v>
      </c>
      <c r="F28" s="21">
        <f t="shared" si="35"/>
        <v>-7.5054521898900344E-3</v>
      </c>
      <c r="G28" s="14">
        <f>G27/G16</f>
        <v>3.4117847685304265E-4</v>
      </c>
      <c r="H28" s="21">
        <f t="shared" ref="H28:K28" si="36">H27/H$16</f>
        <v>-1.0986768791298479E-2</v>
      </c>
      <c r="I28" s="21">
        <f t="shared" si="36"/>
        <v>5.9826978261099759E-3</v>
      </c>
      <c r="J28" s="21">
        <f t="shared" si="36"/>
        <v>6.8352890075835705E-3</v>
      </c>
      <c r="K28" s="21">
        <f t="shared" si="36"/>
        <v>-1.9552792163789919E-3</v>
      </c>
      <c r="L28" s="14">
        <f>L27/L16</f>
        <v>9.6959695732776478E-4</v>
      </c>
      <c r="M28" s="21">
        <f t="shared" ref="M28:P28" si="37">M27/M$16</f>
        <v>2.4909148003981384E-2</v>
      </c>
      <c r="N28" s="21">
        <f t="shared" si="37"/>
        <v>-9.3576683429319159E-4</v>
      </c>
      <c r="O28" s="21">
        <f t="shared" si="37"/>
        <v>1.7951891825374422E-3</v>
      </c>
      <c r="P28" s="21">
        <f t="shared" si="37"/>
        <v>4.8836556725954062E-3</v>
      </c>
      <c r="Q28" s="14">
        <f>Q27/Q16</f>
        <v>6.7548490375837584E-3</v>
      </c>
      <c r="R28" s="21">
        <f t="shared" ref="R28:U28" si="38">R27/R$16</f>
        <v>-3.5546707601100705E-4</v>
      </c>
      <c r="S28" s="21">
        <f t="shared" si="38"/>
        <v>7.0567860271441383E-3</v>
      </c>
      <c r="T28" s="21">
        <f t="shared" si="38"/>
        <v>-4.4749524066652238E-5</v>
      </c>
      <c r="U28" s="21">
        <f t="shared" si="38"/>
        <v>4.789431711174289E-3</v>
      </c>
      <c r="V28" s="14">
        <f>V27/V16</f>
        <v>3.0782310014193675E-3</v>
      </c>
      <c r="W28" s="21">
        <f t="shared" ref="W28:Z28" si="39">W27/W$16</f>
        <v>1.8962807236123991E-3</v>
      </c>
      <c r="X28" s="21">
        <f t="shared" si="39"/>
        <v>-1.7656066082644972E-3</v>
      </c>
      <c r="Y28" s="21">
        <f t="shared" si="39"/>
        <v>3.7900325935351282E-3</v>
      </c>
      <c r="Z28" s="21">
        <f t="shared" si="39"/>
        <v>1.0962944407243562E-2</v>
      </c>
      <c r="AA28" s="14">
        <f>AA27/AA16</f>
        <v>4.4952398952100344E-3</v>
      </c>
      <c r="AB28" s="21">
        <f t="shared" ref="AB28:AE28" si="40">AB27/AB$16</f>
        <v>2.301894297557163E-3</v>
      </c>
      <c r="AC28" s="21">
        <f t="shared" si="40"/>
        <v>-1.5696576907030827E-3</v>
      </c>
      <c r="AD28" s="21">
        <f t="shared" si="40"/>
        <v>6.4089912076535499E-3</v>
      </c>
      <c r="AE28" s="21">
        <f t="shared" si="40"/>
        <v>-2.4911329408924623E-2</v>
      </c>
      <c r="AF28" s="14">
        <f>AF27/AF16</f>
        <v>-5.9418230464629183E-3</v>
      </c>
      <c r="AG28" s="21">
        <f t="shared" ref="AG28" si="41">AG27/AG$16</f>
        <v>-2.0863360912254441E-3</v>
      </c>
      <c r="AH28" s="26">
        <f t="shared" ref="AH28:AJ28" si="42">AG28</f>
        <v>-2.0863360912254441E-3</v>
      </c>
      <c r="AI28" s="26">
        <f t="shared" si="42"/>
        <v>-2.0863360912254441E-3</v>
      </c>
      <c r="AJ28" s="26">
        <f t="shared" si="42"/>
        <v>-2.0863360912254441E-3</v>
      </c>
      <c r="AK28" s="14">
        <f>AK27/AK16</f>
        <v>-2.0863360912254437E-3</v>
      </c>
      <c r="AL28" s="27">
        <f>AK28</f>
        <v>-2.0863360912254437E-3</v>
      </c>
      <c r="AM28" s="27">
        <f>AL28</f>
        <v>-2.0863360912254437E-3</v>
      </c>
      <c r="AN28" s="27">
        <f t="shared" ref="AN28:AT28" si="43">AM28</f>
        <v>-2.0863360912254437E-3</v>
      </c>
      <c r="AO28" s="27">
        <f t="shared" si="43"/>
        <v>-2.0863360912254437E-3</v>
      </c>
      <c r="AP28" s="27">
        <f t="shared" si="43"/>
        <v>-2.0863360912254437E-3</v>
      </c>
      <c r="AQ28" s="27">
        <f t="shared" si="43"/>
        <v>-2.0863360912254437E-3</v>
      </c>
      <c r="AR28" s="27">
        <f t="shared" si="43"/>
        <v>-2.0863360912254437E-3</v>
      </c>
      <c r="AS28" s="27">
        <f t="shared" si="43"/>
        <v>-2.0863360912254437E-3</v>
      </c>
      <c r="AT28" s="27">
        <f t="shared" si="43"/>
        <v>-2.0863360912254437E-3</v>
      </c>
      <c r="AU28" s="8" t="s">
        <v>29</v>
      </c>
    </row>
    <row r="29" spans="2:47" ht="7.95" customHeight="1" x14ac:dyDescent="0.3">
      <c r="B29" s="24"/>
      <c r="G29" s="7"/>
      <c r="L29" s="7"/>
      <c r="Q29" s="7"/>
      <c r="V29" s="7"/>
      <c r="AA29" s="7"/>
      <c r="AF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8" t="s">
        <v>29</v>
      </c>
    </row>
    <row r="30" spans="2:47" ht="16.2" customHeight="1" x14ac:dyDescent="0.3">
      <c r="B30" s="25" t="s">
        <v>45</v>
      </c>
      <c r="C30" s="28">
        <f>C21+C24+C27</f>
        <v>4.2070000000000007</v>
      </c>
      <c r="D30" s="28">
        <f t="shared" ref="D30:AJ30" si="44">D21+D24+D27</f>
        <v>1.0649999999999975</v>
      </c>
      <c r="E30" s="28">
        <f t="shared" si="44"/>
        <v>12.918000000000006</v>
      </c>
      <c r="F30" s="28">
        <f t="shared" si="44"/>
        <v>33.350690780528055</v>
      </c>
      <c r="G30" s="29">
        <f>SUM(C30:F30)</f>
        <v>51.54069078052806</v>
      </c>
      <c r="H30" s="28">
        <f t="shared" si="44"/>
        <v>10.990000000000006</v>
      </c>
      <c r="I30" s="28">
        <f t="shared" si="44"/>
        <v>20.156045200000047</v>
      </c>
      <c r="J30" s="28">
        <f t="shared" si="44"/>
        <v>27.033328260062021</v>
      </c>
      <c r="K30" s="28">
        <f t="shared" si="44"/>
        <v>43.698563857099813</v>
      </c>
      <c r="L30" s="29">
        <f>SUM(H30:K30)</f>
        <v>101.87793731716189</v>
      </c>
      <c r="M30" s="28">
        <f t="shared" si="44"/>
        <v>32.371795420000083</v>
      </c>
      <c r="N30" s="28">
        <f t="shared" si="44"/>
        <v>28.794748349999995</v>
      </c>
      <c r="O30" s="28">
        <f t="shared" si="44"/>
        <v>34.239047440475986</v>
      </c>
      <c r="P30" s="28">
        <f t="shared" si="44"/>
        <v>48.355521741922047</v>
      </c>
      <c r="Q30" s="29">
        <f>SUM(M30:P30)</f>
        <v>143.76111295239809</v>
      </c>
      <c r="R30" s="28">
        <f t="shared" si="44"/>
        <v>37.778681529999986</v>
      </c>
      <c r="S30" s="28">
        <f t="shared" si="44"/>
        <v>40.870661380000179</v>
      </c>
      <c r="T30" s="28">
        <f t="shared" si="44"/>
        <v>41.280373460000007</v>
      </c>
      <c r="U30" s="28">
        <f t="shared" si="44"/>
        <v>53.800623749999858</v>
      </c>
      <c r="V30" s="29">
        <f>SUM(R30:U30)</f>
        <v>173.73034012000005</v>
      </c>
      <c r="W30" s="28">
        <f t="shared" si="44"/>
        <v>41.41330953999995</v>
      </c>
      <c r="X30" s="28">
        <f t="shared" si="44"/>
        <v>43.841000000000022</v>
      </c>
      <c r="Y30" s="28">
        <f t="shared" si="44"/>
        <v>45.007061030000003</v>
      </c>
      <c r="Z30" s="28">
        <f t="shared" si="44"/>
        <v>65.964073489999947</v>
      </c>
      <c r="AA30" s="29">
        <f>SUM(W30:Z30)</f>
        <v>196.22544405999994</v>
      </c>
      <c r="AB30" s="28">
        <f t="shared" si="44"/>
        <v>58.58661274354494</v>
      </c>
      <c r="AC30" s="28">
        <f t="shared" si="44"/>
        <v>58.298000000000023</v>
      </c>
      <c r="AD30" s="28">
        <f t="shared" si="44"/>
        <v>56.872655593434985</v>
      </c>
      <c r="AE30" s="28">
        <f t="shared" si="44"/>
        <v>75.655999999999977</v>
      </c>
      <c r="AF30" s="29">
        <f>SUM(AB30:AE30)</f>
        <v>249.41326833697994</v>
      </c>
      <c r="AG30" s="28">
        <f t="shared" si="44"/>
        <v>63.789999999999978</v>
      </c>
      <c r="AH30" s="28">
        <f t="shared" si="44"/>
        <v>66.826230717917426</v>
      </c>
      <c r="AI30" s="28">
        <f t="shared" si="44"/>
        <v>71.246049628068221</v>
      </c>
      <c r="AJ30" s="28">
        <f t="shared" si="44"/>
        <v>96.079554647092834</v>
      </c>
      <c r="AK30" s="29">
        <f>SUM(AG30:AJ30)</f>
        <v>297.94183499307849</v>
      </c>
      <c r="AL30" s="29">
        <f>AL21+AL24+AL27</f>
        <v>353.14298769896124</v>
      </c>
      <c r="AM30" s="29">
        <f>AM21+AM24+AM27</f>
        <v>416.63398250665597</v>
      </c>
      <c r="AN30" s="29">
        <f t="shared" ref="AN30:AT30" si="45">AN21+AN24+AN27</f>
        <v>487.75857111594081</v>
      </c>
      <c r="AO30" s="29">
        <f t="shared" si="45"/>
        <v>567.20042289782316</v>
      </c>
      <c r="AP30" s="29">
        <f t="shared" si="45"/>
        <v>655.69481647517171</v>
      </c>
      <c r="AQ30" s="29">
        <f t="shared" si="45"/>
        <v>754.03213919401787</v>
      </c>
      <c r="AR30" s="29">
        <f t="shared" si="45"/>
        <v>863.06160771623945</v>
      </c>
      <c r="AS30" s="29">
        <f t="shared" si="45"/>
        <v>983.69522308158821</v>
      </c>
      <c r="AT30" s="29">
        <f t="shared" si="45"/>
        <v>1116.9119743724398</v>
      </c>
      <c r="AU30" s="8" t="s">
        <v>29</v>
      </c>
    </row>
    <row r="31" spans="2:47" ht="16.2" customHeight="1" x14ac:dyDescent="0.3">
      <c r="B31" s="20" t="s">
        <v>46</v>
      </c>
      <c r="C31" s="21">
        <f>C30/C$16</f>
        <v>7.4945665728435543E-2</v>
      </c>
      <c r="D31" s="21">
        <f t="shared" ref="D31:AJ31" si="46">D30/D$16</f>
        <v>4.5448726155421733E-2</v>
      </c>
      <c r="E31" s="21">
        <f t="shared" si="46"/>
        <v>0.1949357155791635</v>
      </c>
      <c r="F31" s="21">
        <f t="shared" si="46"/>
        <v>0.27452623674528237</v>
      </c>
      <c r="G31" s="14">
        <f>G30/G16</f>
        <v>0.19280555679891226</v>
      </c>
      <c r="H31" s="21">
        <f t="shared" si="46"/>
        <v>0.17249227002338621</v>
      </c>
      <c r="I31" s="21">
        <f t="shared" si="46"/>
        <v>0.21342925274515878</v>
      </c>
      <c r="J31" s="21">
        <f t="shared" si="46"/>
        <v>0.21664616674953385</v>
      </c>
      <c r="K31" s="21">
        <f t="shared" si="46"/>
        <v>0.28813728553450563</v>
      </c>
      <c r="L31" s="14">
        <f>L30/L16</f>
        <v>0.23442211038304411</v>
      </c>
      <c r="M31" s="21">
        <f t="shared" si="46"/>
        <v>0.28768791919946041</v>
      </c>
      <c r="N31" s="21">
        <f t="shared" si="46"/>
        <v>0.21906642689226502</v>
      </c>
      <c r="O31" s="21">
        <f t="shared" si="46"/>
        <v>0.24784503058680962</v>
      </c>
      <c r="P31" s="21">
        <f t="shared" si="46"/>
        <v>0.26094112492403104</v>
      </c>
      <c r="Q31" s="14">
        <f>Q30/Q16</f>
        <v>0.25335658385833232</v>
      </c>
      <c r="R31" s="21">
        <f t="shared" si="46"/>
        <v>0.2666291307078833</v>
      </c>
      <c r="S31" s="21">
        <f t="shared" si="46"/>
        <v>0.26236918397195047</v>
      </c>
      <c r="T31" s="21">
        <f t="shared" si="46"/>
        <v>0.25128405879582261</v>
      </c>
      <c r="U31" s="21">
        <f t="shared" si="46"/>
        <v>0.2424030230190084</v>
      </c>
      <c r="V31" s="14">
        <f>V30/V16</f>
        <v>0.25410684887160523</v>
      </c>
      <c r="W31" s="21">
        <f t="shared" si="46"/>
        <v>0.25543116085140999</v>
      </c>
      <c r="X31" s="21">
        <f t="shared" si="46"/>
        <v>0.22833616316496713</v>
      </c>
      <c r="Y31" s="21">
        <f t="shared" si="46"/>
        <v>0.22026114483568651</v>
      </c>
      <c r="Z31" s="21">
        <f t="shared" si="46"/>
        <v>0.24136935899828368</v>
      </c>
      <c r="AA31" s="14">
        <f>AA30/AA16</f>
        <v>0.23591622580579222</v>
      </c>
      <c r="AB31" s="21">
        <f t="shared" si="46"/>
        <v>0.2753311437009246</v>
      </c>
      <c r="AC31" s="21">
        <f t="shared" si="46"/>
        <v>0.24081027382265355</v>
      </c>
      <c r="AD31" s="21">
        <f t="shared" si="46"/>
        <v>0.2117933466904319</v>
      </c>
      <c r="AE31" s="21">
        <f t="shared" si="46"/>
        <v>0.23415225962996658</v>
      </c>
      <c r="AF31" s="14">
        <f>AF30/AF16</f>
        <v>0.23832814944977215</v>
      </c>
      <c r="AG31" s="21">
        <f t="shared" si="46"/>
        <v>0.25398354820471569</v>
      </c>
      <c r="AH31" s="21">
        <f t="shared" si="46"/>
        <v>0.25648354820471558</v>
      </c>
      <c r="AI31" s="21">
        <f t="shared" si="46"/>
        <v>0.25898354820471547</v>
      </c>
      <c r="AJ31" s="21">
        <f t="shared" si="46"/>
        <v>0.26148354820471548</v>
      </c>
      <c r="AK31" s="14">
        <f>AK30/AK16</f>
        <v>0.25812709275548257</v>
      </c>
      <c r="AL31" s="14">
        <f>AL30/AL16</f>
        <v>0.26812709275548252</v>
      </c>
      <c r="AM31" s="14">
        <f>AM30/AM16</f>
        <v>0.27812709275548247</v>
      </c>
      <c r="AN31" s="14">
        <f t="shared" ref="AN31:AT31" si="47">AN30/AN16</f>
        <v>0.28812709275548254</v>
      </c>
      <c r="AO31" s="14">
        <f t="shared" si="47"/>
        <v>0.29812709275548255</v>
      </c>
      <c r="AP31" s="14">
        <f t="shared" si="47"/>
        <v>0.30812709275548256</v>
      </c>
      <c r="AQ31" s="14">
        <f t="shared" si="47"/>
        <v>0.31812709275548251</v>
      </c>
      <c r="AR31" s="14">
        <f t="shared" si="47"/>
        <v>0.32812709275548257</v>
      </c>
      <c r="AS31" s="14">
        <f t="shared" si="47"/>
        <v>0.33812709275548253</v>
      </c>
      <c r="AT31" s="14">
        <f t="shared" si="47"/>
        <v>0.34812709275548254</v>
      </c>
      <c r="AU31" s="8" t="s">
        <v>29</v>
      </c>
    </row>
    <row r="32" spans="2:47" ht="7.95" customHeight="1" x14ac:dyDescent="0.3">
      <c r="B32" s="20"/>
      <c r="G32" s="7"/>
      <c r="L32" s="7"/>
      <c r="Q32" s="7"/>
      <c r="V32" s="7"/>
      <c r="AA32" s="7"/>
      <c r="AF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8" t="s">
        <v>29</v>
      </c>
    </row>
    <row r="33" spans="2:47" ht="16.2" customHeight="1" x14ac:dyDescent="0.3">
      <c r="B33" s="20" t="s">
        <v>47</v>
      </c>
      <c r="C33" s="22">
        <f>C509</f>
        <v>-2.8340000000000001</v>
      </c>
      <c r="D33" s="22">
        <f t="shared" ref="D33:AG33" si="48">D509</f>
        <v>-2.8279999999999998</v>
      </c>
      <c r="E33" s="22">
        <f t="shared" si="48"/>
        <v>-2.794</v>
      </c>
      <c r="F33" s="22">
        <f t="shared" si="48"/>
        <v>-2.6190000000000002</v>
      </c>
      <c r="G33" s="23">
        <f>SUM(C33:F33)</f>
        <v>-11.074999999999999</v>
      </c>
      <c r="H33" s="22">
        <f t="shared" si="48"/>
        <v>-2.4420000000000002</v>
      </c>
      <c r="I33" s="22">
        <f t="shared" si="48"/>
        <v>-2.427</v>
      </c>
      <c r="J33" s="22">
        <f t="shared" si="48"/>
        <v>-3.3260000000000001</v>
      </c>
      <c r="K33" s="22">
        <f t="shared" si="48"/>
        <v>-3.3149999999999999</v>
      </c>
      <c r="L33" s="23">
        <f>SUM(H33:K33)</f>
        <v>-11.51</v>
      </c>
      <c r="M33" s="22">
        <f t="shared" si="48"/>
        <v>-4</v>
      </c>
      <c r="N33" s="22">
        <f t="shared" si="48"/>
        <v>-4.3079999999999998</v>
      </c>
      <c r="O33" s="22">
        <f t="shared" si="48"/>
        <v>-4.6909999999999998</v>
      </c>
      <c r="P33" s="22">
        <f t="shared" si="48"/>
        <v>-5.5449999999999999</v>
      </c>
      <c r="Q33" s="23">
        <f>SUM(M33:P33)</f>
        <v>-18.543999999999997</v>
      </c>
      <c r="R33" s="22">
        <f t="shared" si="48"/>
        <v>-5.8170000000000002</v>
      </c>
      <c r="S33" s="22">
        <f t="shared" si="48"/>
        <v>-6.1920000000000002</v>
      </c>
      <c r="T33" s="22">
        <f t="shared" si="48"/>
        <v>-6.375</v>
      </c>
      <c r="U33" s="22">
        <f t="shared" si="48"/>
        <v>-6.633</v>
      </c>
      <c r="V33" s="23">
        <f>SUM(R33:U33)</f>
        <v>-25.016999999999999</v>
      </c>
      <c r="W33" s="22">
        <f t="shared" si="48"/>
        <v>-7.0979999999999999</v>
      </c>
      <c r="X33" s="22">
        <f t="shared" si="48"/>
        <v>-7.9359999999999999</v>
      </c>
      <c r="Y33" s="22">
        <f t="shared" si="48"/>
        <v>-8.2530000000000001</v>
      </c>
      <c r="Z33" s="22">
        <f t="shared" si="48"/>
        <v>-8.7319999999999993</v>
      </c>
      <c r="AA33" s="23">
        <f>SUM(W33:Z33)</f>
        <v>-32.018999999999998</v>
      </c>
      <c r="AB33" s="22">
        <f t="shared" si="48"/>
        <v>-8.266</v>
      </c>
      <c r="AC33" s="22">
        <f t="shared" si="48"/>
        <v>-9.2010000000000005</v>
      </c>
      <c r="AD33" s="22">
        <f t="shared" si="48"/>
        <v>-9.42</v>
      </c>
      <c r="AE33" s="22">
        <f t="shared" si="48"/>
        <v>-10.072000000000001</v>
      </c>
      <c r="AF33" s="23">
        <f>SUM(AB33:AE33)</f>
        <v>-36.959000000000003</v>
      </c>
      <c r="AG33" s="22">
        <f t="shared" si="48"/>
        <v>-9.9499999999999993</v>
      </c>
      <c r="AH33" s="22">
        <f>AH513</f>
        <v>-11.255132025582128</v>
      </c>
      <c r="AI33" s="22">
        <f t="shared" ref="AI33:AJ33" ca="1" si="49">AI513</f>
        <v>-11.558525733903654</v>
      </c>
      <c r="AJ33" s="22">
        <f t="shared" ca="1" si="49"/>
        <v>-12.362183192357184</v>
      </c>
      <c r="AK33" s="23">
        <f ca="1">SUM(AG33:AJ33)</f>
        <v>-45.125840951842967</v>
      </c>
      <c r="AL33" s="23">
        <f ca="1">AL513</f>
        <v>-55.451571429157028</v>
      </c>
      <c r="AM33" s="23">
        <f ca="1">AM513</f>
        <v>-65.692382574732065</v>
      </c>
      <c r="AN33" s="23">
        <f t="shared" ref="AN33:AT33" ca="1" si="50">AN513</f>
        <v>-76.56359306366798</v>
      </c>
      <c r="AO33" s="23">
        <f t="shared" ca="1" si="50"/>
        <v>-88.14702743114438</v>
      </c>
      <c r="AP33" s="23">
        <f t="shared" ca="1" si="50"/>
        <v>-100.52105338955579</v>
      </c>
      <c r="AQ33" s="23">
        <f t="shared" ca="1" si="50"/>
        <v>-113.76236271039318</v>
      </c>
      <c r="AR33" s="23">
        <f t="shared" ca="1" si="50"/>
        <v>-127.94735190045182</v>
      </c>
      <c r="AS33" s="23">
        <f t="shared" ca="1" si="50"/>
        <v>-143.15321465539301</v>
      </c>
      <c r="AT33" s="23">
        <f t="shared" ca="1" si="50"/>
        <v>-159.45882671536663</v>
      </c>
      <c r="AU33" s="8" t="s">
        <v>29</v>
      </c>
    </row>
    <row r="34" spans="2:47" ht="7.95" customHeight="1" x14ac:dyDescent="0.3">
      <c r="B34" s="20"/>
      <c r="G34" s="7"/>
      <c r="L34" s="7"/>
      <c r="Q34" s="7"/>
      <c r="V34" s="7"/>
      <c r="AA34" s="7"/>
      <c r="AF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8" t="s">
        <v>29</v>
      </c>
    </row>
    <row r="35" spans="2:47" ht="16.2" customHeight="1" x14ac:dyDescent="0.3">
      <c r="B35" s="25" t="s">
        <v>48</v>
      </c>
      <c r="C35" s="28">
        <f>C30+C33</f>
        <v>1.3730000000000007</v>
      </c>
      <c r="D35" s="28">
        <f t="shared" ref="D35:AJ35" si="51">D30+D33</f>
        <v>-1.7630000000000023</v>
      </c>
      <c r="E35" s="28">
        <f t="shared" si="51"/>
        <v>10.124000000000006</v>
      </c>
      <c r="F35" s="28">
        <f t="shared" si="51"/>
        <v>30.731690780528055</v>
      </c>
      <c r="G35" s="29">
        <f>SUM(C35:F35)</f>
        <v>40.465690780528057</v>
      </c>
      <c r="H35" s="28">
        <f t="shared" si="51"/>
        <v>8.5480000000000054</v>
      </c>
      <c r="I35" s="28">
        <f t="shared" si="51"/>
        <v>17.729045200000048</v>
      </c>
      <c r="J35" s="28">
        <f t="shared" si="51"/>
        <v>23.70732826006202</v>
      </c>
      <c r="K35" s="28">
        <f t="shared" si="51"/>
        <v>40.383563857099816</v>
      </c>
      <c r="L35" s="29">
        <f>SUM(H35:K35)</f>
        <v>90.367937317161889</v>
      </c>
      <c r="M35" s="28">
        <f t="shared" si="51"/>
        <v>28.371795420000083</v>
      </c>
      <c r="N35" s="28">
        <f t="shared" si="51"/>
        <v>24.486748349999996</v>
      </c>
      <c r="O35" s="28">
        <f t="shared" si="51"/>
        <v>29.548047440475987</v>
      </c>
      <c r="P35" s="28">
        <f t="shared" si="51"/>
        <v>42.810521741922045</v>
      </c>
      <c r="Q35" s="29">
        <f>SUM(M35:P35)</f>
        <v>125.21711295239811</v>
      </c>
      <c r="R35" s="28">
        <f t="shared" si="51"/>
        <v>31.961681529999986</v>
      </c>
      <c r="S35" s="28">
        <f t="shared" si="51"/>
        <v>34.678661380000179</v>
      </c>
      <c r="T35" s="28">
        <f t="shared" si="51"/>
        <v>34.905373460000007</v>
      </c>
      <c r="U35" s="28">
        <f t="shared" si="51"/>
        <v>47.167623749999855</v>
      </c>
      <c r="V35" s="29">
        <f>SUM(R35:U35)</f>
        <v>148.71334012000003</v>
      </c>
      <c r="W35" s="28">
        <f t="shared" si="51"/>
        <v>34.315309539999951</v>
      </c>
      <c r="X35" s="28">
        <f t="shared" si="51"/>
        <v>35.905000000000022</v>
      </c>
      <c r="Y35" s="28">
        <f t="shared" si="51"/>
        <v>36.754061030000003</v>
      </c>
      <c r="Z35" s="28">
        <f t="shared" si="51"/>
        <v>57.232073489999948</v>
      </c>
      <c r="AA35" s="29">
        <f>SUM(W35:Z35)</f>
        <v>164.20644405999991</v>
      </c>
      <c r="AB35" s="28">
        <f t="shared" si="51"/>
        <v>50.320612743544942</v>
      </c>
      <c r="AC35" s="28">
        <f t="shared" si="51"/>
        <v>49.097000000000023</v>
      </c>
      <c r="AD35" s="28">
        <f t="shared" si="51"/>
        <v>47.452655593434983</v>
      </c>
      <c r="AE35" s="28">
        <f t="shared" si="51"/>
        <v>65.583999999999975</v>
      </c>
      <c r="AF35" s="29">
        <f>SUM(AB35:AE35)</f>
        <v>212.45426833697994</v>
      </c>
      <c r="AG35" s="28">
        <f t="shared" si="51"/>
        <v>53.839999999999975</v>
      </c>
      <c r="AH35" s="28">
        <f t="shared" si="51"/>
        <v>55.571098692335298</v>
      </c>
      <c r="AI35" s="28">
        <f t="shared" ca="1" si="51"/>
        <v>59.68752389416457</v>
      </c>
      <c r="AJ35" s="28">
        <f t="shared" ca="1" si="51"/>
        <v>83.717371454735655</v>
      </c>
      <c r="AK35" s="29">
        <f ca="1">SUM(AG35:AJ35)</f>
        <v>252.81599404123551</v>
      </c>
      <c r="AL35" s="29">
        <f ca="1">AL30+AL33</f>
        <v>297.69141626980422</v>
      </c>
      <c r="AM35" s="29">
        <f ca="1">AM30+AM33</f>
        <v>350.94159993192392</v>
      </c>
      <c r="AN35" s="29">
        <f t="shared" ref="AN35:AT35" ca="1" si="52">AN30+AN33</f>
        <v>411.19497805227286</v>
      </c>
      <c r="AO35" s="29">
        <f t="shared" ca="1" si="52"/>
        <v>479.05339546667881</v>
      </c>
      <c r="AP35" s="29">
        <f t="shared" ca="1" si="52"/>
        <v>555.17376308561597</v>
      </c>
      <c r="AQ35" s="29">
        <f t="shared" ca="1" si="52"/>
        <v>640.2697764836247</v>
      </c>
      <c r="AR35" s="29">
        <f t="shared" ca="1" si="52"/>
        <v>735.1142558157876</v>
      </c>
      <c r="AS35" s="29">
        <f t="shared" ca="1" si="52"/>
        <v>840.54200842619525</v>
      </c>
      <c r="AT35" s="29">
        <f t="shared" ca="1" si="52"/>
        <v>957.45314765707315</v>
      </c>
      <c r="AU35" s="8" t="s">
        <v>29</v>
      </c>
    </row>
    <row r="36" spans="2:47" ht="16.2" customHeight="1" x14ac:dyDescent="0.3">
      <c r="B36" s="20" t="s">
        <v>49</v>
      </c>
      <c r="C36" s="21">
        <f>C35/C$16</f>
        <v>2.4459329461645359E-2</v>
      </c>
      <c r="D36" s="21">
        <f t="shared" ref="D36:AJ36" si="53">D35/D$16</f>
        <v>-7.5235778602825182E-2</v>
      </c>
      <c r="E36" s="21">
        <f t="shared" si="53"/>
        <v>0.15277358604454647</v>
      </c>
      <c r="F36" s="21">
        <f t="shared" si="53"/>
        <v>0.25296793623608643</v>
      </c>
      <c r="G36" s="14">
        <f>G35/G16</f>
        <v>0.15137573680211328</v>
      </c>
      <c r="H36" s="21">
        <f t="shared" si="53"/>
        <v>0.13416414232574209</v>
      </c>
      <c r="I36" s="21">
        <f t="shared" si="53"/>
        <v>0.1877301242071607</v>
      </c>
      <c r="J36" s="21">
        <f t="shared" si="53"/>
        <v>0.18999147060272295</v>
      </c>
      <c r="K36" s="21">
        <f t="shared" si="53"/>
        <v>0.26627901338006055</v>
      </c>
      <c r="L36" s="14">
        <f>L35/L16</f>
        <v>0.20793749004656314</v>
      </c>
      <c r="M36" s="21">
        <f t="shared" si="53"/>
        <v>0.25213994721126232</v>
      </c>
      <c r="N36" s="21">
        <f t="shared" si="53"/>
        <v>0.1862917641106791</v>
      </c>
      <c r="O36" s="21">
        <f t="shared" si="53"/>
        <v>0.21388844810582922</v>
      </c>
      <c r="P36" s="21">
        <f t="shared" si="53"/>
        <v>0.2310186158582393</v>
      </c>
      <c r="Q36" s="14">
        <f>Q35/Q16</f>
        <v>0.22067567040001357</v>
      </c>
      <c r="R36" s="21">
        <f t="shared" si="53"/>
        <v>0.22557471614087082</v>
      </c>
      <c r="S36" s="21">
        <f t="shared" si="53"/>
        <v>0.22261964402569209</v>
      </c>
      <c r="T36" s="21">
        <f t="shared" si="53"/>
        <v>0.21247782376077337</v>
      </c>
      <c r="U36" s="21">
        <f t="shared" si="53"/>
        <v>0.21251750981090015</v>
      </c>
      <c r="V36" s="14">
        <f>V35/V16</f>
        <v>0.21751570978887494</v>
      </c>
      <c r="W36" s="21">
        <f t="shared" si="53"/>
        <v>0.21165174790755595</v>
      </c>
      <c r="X36" s="21">
        <f t="shared" si="53"/>
        <v>0.18700326038270446</v>
      </c>
      <c r="Y36" s="21">
        <f t="shared" si="53"/>
        <v>0.17987158846991461</v>
      </c>
      <c r="Z36" s="21">
        <f t="shared" si="53"/>
        <v>0.20941806898141524</v>
      </c>
      <c r="AA36" s="14">
        <f>AA35/AA16</f>
        <v>0.1974207000585505</v>
      </c>
      <c r="AB36" s="21">
        <f t="shared" si="53"/>
        <v>0.23648460304505439</v>
      </c>
      <c r="AC36" s="21">
        <f t="shared" si="53"/>
        <v>0.20280390431697182</v>
      </c>
      <c r="AD36" s="21">
        <f t="shared" si="53"/>
        <v>0.17671333671013181</v>
      </c>
      <c r="AE36" s="21">
        <f t="shared" si="53"/>
        <v>0.20297982705366033</v>
      </c>
      <c r="AF36" s="14">
        <f>AF35/AF16</f>
        <v>0.20301178422892421</v>
      </c>
      <c r="AG36" s="21">
        <f t="shared" si="53"/>
        <v>0.21436705181598825</v>
      </c>
      <c r="AH36" s="21">
        <f t="shared" si="53"/>
        <v>0.21328559784269049</v>
      </c>
      <c r="AI36" s="21">
        <f t="shared" ca="1" si="53"/>
        <v>0.21696763262470881</v>
      </c>
      <c r="AJ36" s="21">
        <f t="shared" ca="1" si="53"/>
        <v>0.22783947547178615</v>
      </c>
      <c r="AK36" s="14">
        <f ca="1">AK35/AK16</f>
        <v>0.21903153528428645</v>
      </c>
      <c r="AL36" s="14">
        <f ca="1">AL35/AL16</f>
        <v>0.22602497221529719</v>
      </c>
      <c r="AM36" s="14">
        <f ca="1">AM35/AM16</f>
        <v>0.23427365748895509</v>
      </c>
      <c r="AN36" s="14">
        <f t="shared" ref="AN36:AT36" ca="1" si="54">AN35/AN16</f>
        <v>0.24289970612057954</v>
      </c>
      <c r="AO36" s="14">
        <f t="shared" ca="1" si="54"/>
        <v>0.25179599714588208</v>
      </c>
      <c r="AP36" s="14">
        <f t="shared" ca="1" si="54"/>
        <v>0.26088978179404188</v>
      </c>
      <c r="AQ36" s="14">
        <f t="shared" ca="1" si="54"/>
        <v>0.27013061112973058</v>
      </c>
      <c r="AR36" s="14">
        <f t="shared" ca="1" si="54"/>
        <v>0.27948283349344705</v>
      </c>
      <c r="AS36" s="14">
        <f t="shared" ca="1" si="54"/>
        <v>0.28892081508505119</v>
      </c>
      <c r="AT36" s="14">
        <f t="shared" ca="1" si="54"/>
        <v>0.29842582798946427</v>
      </c>
      <c r="AU36" s="8" t="s">
        <v>29</v>
      </c>
    </row>
    <row r="37" spans="2:47" ht="7.95" customHeight="1" x14ac:dyDescent="0.3">
      <c r="B37" s="20"/>
      <c r="G37" s="7"/>
      <c r="L37" s="7"/>
      <c r="Q37" s="7"/>
      <c r="V37" s="7"/>
      <c r="AA37" s="7"/>
      <c r="AF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8" t="s">
        <v>29</v>
      </c>
    </row>
    <row r="38" spans="2:47" ht="16.2" customHeight="1" x14ac:dyDescent="0.3">
      <c r="B38" s="20" t="s">
        <v>50</v>
      </c>
      <c r="C38" s="22">
        <f>C308</f>
        <v>-1.127</v>
      </c>
      <c r="D38" s="22">
        <f t="shared" ref="D38:AJ38" si="55">D308</f>
        <v>-0.9</v>
      </c>
      <c r="E38" s="22">
        <f t="shared" si="55"/>
        <v>-0.71699999999999997</v>
      </c>
      <c r="F38" s="22">
        <f t="shared" si="55"/>
        <v>-2.3635137524000007</v>
      </c>
      <c r="G38" s="23">
        <f>SUM(C38:F38)</f>
        <v>-5.1075137524000009</v>
      </c>
      <c r="H38" s="22">
        <f t="shared" si="55"/>
        <v>1.0999999999999999E-2</v>
      </c>
      <c r="I38" s="22">
        <f t="shared" si="55"/>
        <v>-1.077</v>
      </c>
      <c r="J38" s="22">
        <f t="shared" si="55"/>
        <v>-0.84942960899999964</v>
      </c>
      <c r="K38" s="22">
        <f t="shared" si="55"/>
        <v>0.27859705700000098</v>
      </c>
      <c r="L38" s="23">
        <f>SUM(H38:K38)</f>
        <v>-1.6368325519999989</v>
      </c>
      <c r="M38" s="22">
        <f t="shared" si="55"/>
        <v>-1.2259986699999998</v>
      </c>
      <c r="N38" s="22">
        <f t="shared" si="55"/>
        <v>-0.79800000000000004</v>
      </c>
      <c r="O38" s="22">
        <f t="shared" si="55"/>
        <v>-1.1429935117999999</v>
      </c>
      <c r="P38" s="22">
        <f t="shared" si="55"/>
        <v>-1.6297331600000011</v>
      </c>
      <c r="Q38" s="23">
        <f>SUM(M38:P38)</f>
        <v>-4.7967253418000011</v>
      </c>
      <c r="R38" s="22">
        <f t="shared" si="55"/>
        <v>-2.66</v>
      </c>
      <c r="S38" s="22">
        <f t="shared" si="55"/>
        <v>-2.8809999999999998</v>
      </c>
      <c r="T38" s="22">
        <f t="shared" si="55"/>
        <v>-3.0510000000000002</v>
      </c>
      <c r="U38" s="22">
        <f t="shared" si="55"/>
        <v>-3.1921326004999999</v>
      </c>
      <c r="V38" s="23">
        <f>SUM(R38:U38)</f>
        <v>-11.784132600500001</v>
      </c>
      <c r="W38" s="22">
        <f t="shared" si="55"/>
        <v>-3.5339999999999998</v>
      </c>
      <c r="X38" s="22">
        <f t="shared" si="55"/>
        <v>-3.9369999999999998</v>
      </c>
      <c r="Y38" s="22">
        <f t="shared" si="55"/>
        <v>-5.3289999999999997</v>
      </c>
      <c r="Z38" s="22">
        <f t="shared" si="55"/>
        <v>-3.9657310029999988</v>
      </c>
      <c r="AA38" s="23">
        <f>SUM(W38:Z38)</f>
        <v>-16.765731002999999</v>
      </c>
      <c r="AB38" s="22">
        <f t="shared" si="55"/>
        <v>-7.6849999999999996</v>
      </c>
      <c r="AC38" s="22">
        <f t="shared" si="55"/>
        <v>-6.9450000000000003</v>
      </c>
      <c r="AD38" s="22">
        <f t="shared" si="55"/>
        <v>-8.5344265364999998</v>
      </c>
      <c r="AE38" s="22">
        <f t="shared" si="55"/>
        <v>-9.5120000000000005</v>
      </c>
      <c r="AF38" s="23">
        <f>SUM(AB38:AE38)</f>
        <v>-32.676426536500003</v>
      </c>
      <c r="AG38" s="22">
        <f t="shared" si="55"/>
        <v>-10.438000000000001</v>
      </c>
      <c r="AH38" s="22">
        <f t="shared" si="55"/>
        <v>-8.6196585552480602</v>
      </c>
      <c r="AI38" s="22">
        <f t="shared" ca="1" si="55"/>
        <v>-9.2383244760777927</v>
      </c>
      <c r="AJ38" s="22">
        <f t="shared" ca="1" si="55"/>
        <v>-11.465266171256753</v>
      </c>
      <c r="AK38" s="23">
        <f ca="1">SUM(AG38:AJ38)</f>
        <v>-39.761249202582604</v>
      </c>
      <c r="AL38" s="23">
        <f ca="1">AL308</f>
        <v>-46.131487046404573</v>
      </c>
      <c r="AM38" s="23">
        <f ca="1">AM308</f>
        <v>-52.682327838845865</v>
      </c>
      <c r="AN38" s="23">
        <f t="shared" ref="AN38:AT38" ca="1" si="56">AN308</f>
        <v>-57.280853370851858</v>
      </c>
      <c r="AO38" s="23">
        <f t="shared" ca="1" si="56"/>
        <v>-61.873278754972944</v>
      </c>
      <c r="AP38" s="23">
        <f t="shared" ca="1" si="56"/>
        <v>-66.429597595994167</v>
      </c>
      <c r="AQ38" s="23">
        <f t="shared" ca="1" si="56"/>
        <v>-70.915934473477904</v>
      </c>
      <c r="AR38" s="23">
        <f t="shared" ca="1" si="56"/>
        <v>-75.294189176350613</v>
      </c>
      <c r="AS38" s="23">
        <f t="shared" ca="1" si="56"/>
        <v>-79.521652862739742</v>
      </c>
      <c r="AT38" s="23">
        <f t="shared" ca="1" si="56"/>
        <v>-83.550594119989626</v>
      </c>
      <c r="AU38" s="8" t="s">
        <v>29</v>
      </c>
    </row>
    <row r="39" spans="2:47" ht="7.95" customHeight="1" x14ac:dyDescent="0.3">
      <c r="B39" s="20"/>
      <c r="G39" s="7"/>
      <c r="L39" s="7"/>
      <c r="Q39" s="7"/>
      <c r="V39" s="7"/>
      <c r="AA39" s="7"/>
      <c r="AF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8" t="s">
        <v>29</v>
      </c>
    </row>
    <row r="40" spans="2:47" ht="16.2" customHeight="1" x14ac:dyDescent="0.3">
      <c r="B40" s="25" t="s">
        <v>51</v>
      </c>
      <c r="C40" s="28">
        <f>C35+C38</f>
        <v>0.24600000000000066</v>
      </c>
      <c r="D40" s="28">
        <f t="shared" ref="D40:AJ40" si="57">D35+D38</f>
        <v>-2.6630000000000025</v>
      </c>
      <c r="E40" s="28">
        <f t="shared" si="57"/>
        <v>9.4070000000000054</v>
      </c>
      <c r="F40" s="28">
        <f t="shared" si="57"/>
        <v>28.368177028128056</v>
      </c>
      <c r="G40" s="29">
        <f>SUM(C40:F40)</f>
        <v>35.358177028128061</v>
      </c>
      <c r="H40" s="28">
        <f t="shared" si="57"/>
        <v>8.5590000000000046</v>
      </c>
      <c r="I40" s="28">
        <f t="shared" si="57"/>
        <v>16.652045200000046</v>
      </c>
      <c r="J40" s="28">
        <f t="shared" si="57"/>
        <v>22.857898651062019</v>
      </c>
      <c r="K40" s="28">
        <f t="shared" si="57"/>
        <v>40.662160914099815</v>
      </c>
      <c r="L40" s="29">
        <f>SUM(H40:K40)</f>
        <v>88.731104765161888</v>
      </c>
      <c r="M40" s="28">
        <f t="shared" si="57"/>
        <v>27.145796750000084</v>
      </c>
      <c r="N40" s="28">
        <f t="shared" si="57"/>
        <v>23.688748349999997</v>
      </c>
      <c r="O40" s="28">
        <f t="shared" si="57"/>
        <v>28.405053928675986</v>
      </c>
      <c r="P40" s="28">
        <f t="shared" si="57"/>
        <v>41.180788581922045</v>
      </c>
      <c r="Q40" s="29">
        <f>SUM(M40:P40)</f>
        <v>120.42038761059811</v>
      </c>
      <c r="R40" s="28">
        <f t="shared" si="57"/>
        <v>29.301681529999986</v>
      </c>
      <c r="S40" s="28">
        <f t="shared" si="57"/>
        <v>31.797661380000179</v>
      </c>
      <c r="T40" s="28">
        <f t="shared" si="57"/>
        <v>31.854373460000005</v>
      </c>
      <c r="U40" s="28">
        <f t="shared" si="57"/>
        <v>43.975491149499852</v>
      </c>
      <c r="V40" s="29">
        <f>SUM(R40:U40)</f>
        <v>136.92920751950001</v>
      </c>
      <c r="W40" s="28">
        <f t="shared" si="57"/>
        <v>30.781309539999953</v>
      </c>
      <c r="X40" s="28">
        <f t="shared" si="57"/>
        <v>31.968000000000021</v>
      </c>
      <c r="Y40" s="28">
        <f t="shared" si="57"/>
        <v>31.425061030000002</v>
      </c>
      <c r="Z40" s="28">
        <f t="shared" si="57"/>
        <v>53.266342486999946</v>
      </c>
      <c r="AA40" s="29">
        <f>SUM(W40:Z40)</f>
        <v>147.44071305699993</v>
      </c>
      <c r="AB40" s="28">
        <f t="shared" si="57"/>
        <v>42.635612743544939</v>
      </c>
      <c r="AC40" s="28">
        <f t="shared" si="57"/>
        <v>42.152000000000022</v>
      </c>
      <c r="AD40" s="28">
        <f t="shared" si="57"/>
        <v>38.918229056934983</v>
      </c>
      <c r="AE40" s="28">
        <f t="shared" si="57"/>
        <v>56.071999999999974</v>
      </c>
      <c r="AF40" s="29">
        <f>SUM(AB40:AE40)</f>
        <v>179.77784180047993</v>
      </c>
      <c r="AG40" s="28">
        <f t="shared" si="57"/>
        <v>43.401999999999973</v>
      </c>
      <c r="AH40" s="28">
        <f t="shared" si="57"/>
        <v>46.951440137087239</v>
      </c>
      <c r="AI40" s="28">
        <f t="shared" ca="1" si="57"/>
        <v>50.449199418086778</v>
      </c>
      <c r="AJ40" s="28">
        <f t="shared" ca="1" si="57"/>
        <v>72.252105283478897</v>
      </c>
      <c r="AK40" s="29">
        <f ca="1">SUM(AG40:AJ40)</f>
        <v>213.05474483865288</v>
      </c>
      <c r="AL40" s="29">
        <f ca="1">AL35+AL38</f>
        <v>251.55992922339965</v>
      </c>
      <c r="AM40" s="29">
        <f ca="1">AM35+AM38</f>
        <v>298.25927209307804</v>
      </c>
      <c r="AN40" s="29">
        <f t="shared" ref="AN40:AT40" ca="1" si="58">AN35+AN38</f>
        <v>353.91412468142101</v>
      </c>
      <c r="AO40" s="29">
        <f t="shared" ca="1" si="58"/>
        <v>417.18011671170586</v>
      </c>
      <c r="AP40" s="29">
        <f t="shared" ca="1" si="58"/>
        <v>488.74416548962182</v>
      </c>
      <c r="AQ40" s="29">
        <f t="shared" ca="1" si="58"/>
        <v>569.35384201014676</v>
      </c>
      <c r="AR40" s="29">
        <f t="shared" ca="1" si="58"/>
        <v>659.82006663943696</v>
      </c>
      <c r="AS40" s="29">
        <f t="shared" ca="1" si="58"/>
        <v>761.0203555634555</v>
      </c>
      <c r="AT40" s="29">
        <f t="shared" ca="1" si="58"/>
        <v>873.90255353708358</v>
      </c>
      <c r="AU40" s="8" t="s">
        <v>29</v>
      </c>
    </row>
    <row r="41" spans="2:47" ht="16.2" customHeight="1" x14ac:dyDescent="0.3">
      <c r="B41" s="20" t="s">
        <v>52</v>
      </c>
      <c r="C41" s="21">
        <f>C40/C$16</f>
        <v>4.3823707556917496E-3</v>
      </c>
      <c r="D41" s="21">
        <f t="shared" ref="D41:AJ41" si="59">D40/D$16</f>
        <v>-0.11364315281867463</v>
      </c>
      <c r="E41" s="21">
        <f t="shared" si="59"/>
        <v>0.14195388422768163</v>
      </c>
      <c r="F41" s="21">
        <f t="shared" si="59"/>
        <v>0.23351267097000908</v>
      </c>
      <c r="G41" s="14">
        <f>G40/G16</f>
        <v>0.13226933721808556</v>
      </c>
      <c r="H41" s="21">
        <f t="shared" si="59"/>
        <v>0.13433679154960534</v>
      </c>
      <c r="I41" s="21">
        <f t="shared" si="59"/>
        <v>0.17632593737756697</v>
      </c>
      <c r="J41" s="21">
        <f t="shared" si="59"/>
        <v>0.18318410796712481</v>
      </c>
      <c r="K41" s="21">
        <f t="shared" si="59"/>
        <v>0.26811601196025164</v>
      </c>
      <c r="L41" s="14">
        <f>L40/L16</f>
        <v>0.20417112265350379</v>
      </c>
      <c r="M41" s="21">
        <f t="shared" si="59"/>
        <v>0.24124450561658031</v>
      </c>
      <c r="N41" s="21">
        <f t="shared" si="59"/>
        <v>0.18022069147843547</v>
      </c>
      <c r="O41" s="21">
        <f t="shared" si="59"/>
        <v>0.20561469976674113</v>
      </c>
      <c r="P41" s="21">
        <f t="shared" si="59"/>
        <v>0.22222407929287927</v>
      </c>
      <c r="Q41" s="14">
        <f>Q40/Q16</f>
        <v>0.21222218863886763</v>
      </c>
      <c r="R41" s="21">
        <f t="shared" si="59"/>
        <v>0.2068013376385065</v>
      </c>
      <c r="S41" s="21">
        <f t="shared" si="59"/>
        <v>0.20412506641180797</v>
      </c>
      <c r="T41" s="21">
        <f t="shared" si="59"/>
        <v>0.19390561621694039</v>
      </c>
      <c r="U41" s="21">
        <f t="shared" si="59"/>
        <v>0.19813510049471203</v>
      </c>
      <c r="V41" s="14">
        <f>V40/V16</f>
        <v>0.20027963692025635</v>
      </c>
      <c r="W41" s="21">
        <f t="shared" si="59"/>
        <v>0.18985455921446209</v>
      </c>
      <c r="X41" s="21">
        <f t="shared" si="59"/>
        <v>0.16649826564306633</v>
      </c>
      <c r="Y41" s="21">
        <f t="shared" si="59"/>
        <v>0.15379186644480877</v>
      </c>
      <c r="Z41" s="21">
        <f t="shared" si="59"/>
        <v>0.19490704958084953</v>
      </c>
      <c r="AA41" s="14">
        <f>AA40/AA16</f>
        <v>0.17726374233041051</v>
      </c>
      <c r="AB41" s="21">
        <f t="shared" si="59"/>
        <v>0.20036850518147312</v>
      </c>
      <c r="AC41" s="21">
        <f t="shared" si="59"/>
        <v>0.17411634468030626</v>
      </c>
      <c r="AD41" s="21">
        <f t="shared" si="59"/>
        <v>0.1449311957253592</v>
      </c>
      <c r="AE41" s="21">
        <f t="shared" si="59"/>
        <v>0.17354057182472618</v>
      </c>
      <c r="AF41" s="14">
        <f>AF40/AF16</f>
        <v>0.17178765441818147</v>
      </c>
      <c r="AG41" s="21">
        <f t="shared" si="59"/>
        <v>0.17280755540337148</v>
      </c>
      <c r="AH41" s="21">
        <f t="shared" si="59"/>
        <v>0.18020277113209474</v>
      </c>
      <c r="AI41" s="21">
        <f t="shared" ca="1" si="59"/>
        <v>0.18338578402017211</v>
      </c>
      <c r="AJ41" s="21">
        <f t="shared" ca="1" si="59"/>
        <v>0.19663639079280837</v>
      </c>
      <c r="AK41" s="14">
        <f ca="1">AK40/AK16</f>
        <v>0.18458368521574092</v>
      </c>
      <c r="AL41" s="14">
        <f ca="1">AL40/AL16</f>
        <v>0.19099921229058428</v>
      </c>
      <c r="AM41" s="14">
        <f ca="1">AM40/AM16</f>
        <v>0.19910518036845198</v>
      </c>
      <c r="AN41" s="14">
        <f t="shared" ref="AN41:AT41" ca="1" si="60">AN40/AN16</f>
        <v>0.2090629542321672</v>
      </c>
      <c r="AO41" s="14">
        <f t="shared" ca="1" si="60"/>
        <v>0.21927468727056743</v>
      </c>
      <c r="AP41" s="14">
        <f t="shared" ca="1" si="60"/>
        <v>0.22967288291690194</v>
      </c>
      <c r="AQ41" s="14">
        <f t="shared" ca="1" si="60"/>
        <v>0.24021109060610885</v>
      </c>
      <c r="AR41" s="14">
        <f t="shared" ca="1" si="60"/>
        <v>0.25085676187245076</v>
      </c>
      <c r="AS41" s="14">
        <f t="shared" ca="1" si="60"/>
        <v>0.26158671336057959</v>
      </c>
      <c r="AT41" s="14">
        <f t="shared" ca="1" si="60"/>
        <v>0.27238418272433224</v>
      </c>
      <c r="AU41" s="8" t="s">
        <v>29</v>
      </c>
    </row>
    <row r="42" spans="2:47" ht="7.95" customHeight="1" x14ac:dyDescent="0.3">
      <c r="B42" s="20"/>
      <c r="G42" s="7"/>
      <c r="L42" s="7"/>
      <c r="Q42" s="7"/>
      <c r="V42" s="7"/>
      <c r="AA42" s="7"/>
      <c r="AF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8" t="s">
        <v>29</v>
      </c>
    </row>
    <row r="43" spans="2:47" ht="16.2" customHeight="1" x14ac:dyDescent="0.3">
      <c r="B43" s="20" t="s">
        <v>53</v>
      </c>
      <c r="C43" s="22">
        <v>-0.81200000000000006</v>
      </c>
      <c r="D43" s="22">
        <v>1.284</v>
      </c>
      <c r="E43" s="22">
        <v>-2.5430000000000001</v>
      </c>
      <c r="F43" s="22">
        <v>-7.4551602200000007</v>
      </c>
      <c r="G43" s="23">
        <f>SUM(C43:F43)</f>
        <v>-9.5261602200000013</v>
      </c>
      <c r="H43" s="22">
        <v>-1.333</v>
      </c>
      <c r="I43" s="22">
        <v>-3.2709999999999999</v>
      </c>
      <c r="J43" s="22">
        <v>-1.3892769399999993</v>
      </c>
      <c r="K43" s="22">
        <v>-5.5921097700000013</v>
      </c>
      <c r="L43" s="23">
        <f>SUM(H43:K43)</f>
        <v>-11.585386710000002</v>
      </c>
      <c r="M43" s="22">
        <v>-7.1686303200000001</v>
      </c>
      <c r="N43" s="22">
        <v>-6.4189999999999996</v>
      </c>
      <c r="O43" s="22">
        <v>-3.9200336600000019</v>
      </c>
      <c r="P43" s="22">
        <v>-6.4530000000000003</v>
      </c>
      <c r="Q43" s="23">
        <f>SUM(M43:P43)</f>
        <v>-23.96066398</v>
      </c>
      <c r="R43" s="22">
        <v>-4.21422176</v>
      </c>
      <c r="S43" s="22">
        <v>-4.9660000000000002</v>
      </c>
      <c r="T43" s="22">
        <v>-4.6909999999999998</v>
      </c>
      <c r="U43" s="22">
        <v>-8.6479999999999997</v>
      </c>
      <c r="V43" s="23">
        <f>SUM(R43:U43)</f>
        <v>-22.519221760000001</v>
      </c>
      <c r="W43" s="22">
        <v>-4.3959999999999999</v>
      </c>
      <c r="X43" s="22">
        <v>-5.7229999999999999</v>
      </c>
      <c r="Y43" s="22">
        <v>-6.8996779899999998</v>
      </c>
      <c r="Z43" s="22">
        <v>-12.667999999999999</v>
      </c>
      <c r="AA43" s="23">
        <f>SUM(W43:Z43)</f>
        <v>-29.68667799</v>
      </c>
      <c r="AB43" s="22">
        <v>-7.8449999999999998</v>
      </c>
      <c r="AC43" s="22">
        <v>-8.1630000000000003</v>
      </c>
      <c r="AD43" s="22">
        <v>-9.016</v>
      </c>
      <c r="AE43" s="22">
        <v>-12.436</v>
      </c>
      <c r="AF43" s="23">
        <f>SUM(AB43:AE43)</f>
        <v>-37.46</v>
      </c>
      <c r="AG43" s="22">
        <v>-9.0009999999999994</v>
      </c>
      <c r="AH43" s="22">
        <f>AH478</f>
        <v>-13.322946442497047</v>
      </c>
      <c r="AI43" s="22">
        <f t="shared" ref="AI43:AJ43" ca="1" si="61">AI478</f>
        <v>-3.4036637107110703</v>
      </c>
      <c r="AJ43" s="22">
        <f t="shared" ca="1" si="61"/>
        <v>-9.8485019544218542</v>
      </c>
      <c r="AK43" s="23">
        <f ca="1">SUM(AG43:AJ43)</f>
        <v>-35.576112107629974</v>
      </c>
      <c r="AL43" s="23">
        <f ca="1">AL478</f>
        <v>-51.966339266901464</v>
      </c>
      <c r="AM43" s="23">
        <f ca="1">AM478</f>
        <v>-36.359146995488587</v>
      </c>
      <c r="AN43" s="23">
        <f t="shared" ref="AN43:AT43" ca="1" si="62">AN478</f>
        <v>-44.856218840479229</v>
      </c>
      <c r="AO43" s="23">
        <f t="shared" ca="1" si="62"/>
        <v>-54.910463048396196</v>
      </c>
      <c r="AP43" s="23">
        <f t="shared" ca="1" si="62"/>
        <v>-66.86584982723754</v>
      </c>
      <c r="AQ43" s="23">
        <f t="shared" ca="1" si="62"/>
        <v>-80.898468986021498</v>
      </c>
      <c r="AR43" s="23">
        <f t="shared" ca="1" si="62"/>
        <v>-97.203271826397668</v>
      </c>
      <c r="AS43" s="23">
        <f t="shared" ca="1" si="62"/>
        <v>-115.99451165293949</v>
      </c>
      <c r="AT43" s="23">
        <f t="shared" ca="1" si="62"/>
        <v>-137.50642521638591</v>
      </c>
      <c r="AU43" s="8" t="s">
        <v>29</v>
      </c>
    </row>
    <row r="44" spans="2:47" ht="16.2" customHeight="1" x14ac:dyDescent="0.3">
      <c r="B44" s="24" t="s">
        <v>54</v>
      </c>
      <c r="C44" s="21">
        <f>C43/C40</f>
        <v>-3.3008130081300728</v>
      </c>
      <c r="D44" s="21">
        <f t="shared" ref="D44:AJ44" si="63">D43/D40</f>
        <v>-0.48216297408937248</v>
      </c>
      <c r="E44" s="21">
        <f t="shared" si="63"/>
        <v>-0.27033060486871463</v>
      </c>
      <c r="F44" s="21">
        <f t="shared" si="63"/>
        <v>-0.26280011622205912</v>
      </c>
      <c r="G44" s="14">
        <f>G43/G40</f>
        <v>-0.26941887338879972</v>
      </c>
      <c r="H44" s="21">
        <f t="shared" si="63"/>
        <v>-0.15574249328192538</v>
      </c>
      <c r="I44" s="21">
        <f t="shared" si="63"/>
        <v>-0.19643232772392372</v>
      </c>
      <c r="J44" s="21">
        <f t="shared" si="63"/>
        <v>-6.0778856412308534E-2</v>
      </c>
      <c r="K44" s="21">
        <f t="shared" si="63"/>
        <v>-0.13752613349333603</v>
      </c>
      <c r="L44" s="14">
        <f>L43/L40</f>
        <v>-0.13056736688517737</v>
      </c>
      <c r="M44" s="21">
        <f t="shared" si="63"/>
        <v>-0.26407883275704469</v>
      </c>
      <c r="N44" s="21">
        <f t="shared" si="63"/>
        <v>-0.27097252692120394</v>
      </c>
      <c r="O44" s="21">
        <f t="shared" si="63"/>
        <v>-0.13800479554951939</v>
      </c>
      <c r="P44" s="21">
        <f t="shared" si="63"/>
        <v>-0.15669928192761232</v>
      </c>
      <c r="Q44" s="14">
        <f>Q43/Q40</f>
        <v>-0.19897514412161915</v>
      </c>
      <c r="R44" s="21">
        <f t="shared" si="63"/>
        <v>-0.14382184024781469</v>
      </c>
      <c r="S44" s="21">
        <f t="shared" si="63"/>
        <v>-0.15617500735835474</v>
      </c>
      <c r="T44" s="21">
        <f t="shared" si="63"/>
        <v>-0.14726392298660515</v>
      </c>
      <c r="U44" s="21">
        <f t="shared" si="63"/>
        <v>-0.19665499517902157</v>
      </c>
      <c r="V44" s="14">
        <f>V43/V40</f>
        <v>-0.16445886285285813</v>
      </c>
      <c r="W44" s="21">
        <f t="shared" si="63"/>
        <v>-0.14281393695376896</v>
      </c>
      <c r="X44" s="21">
        <f t="shared" si="63"/>
        <v>-0.17902277277277265</v>
      </c>
      <c r="Y44" s="21">
        <f t="shared" si="63"/>
        <v>-0.21955973238725637</v>
      </c>
      <c r="Z44" s="21">
        <f t="shared" si="63"/>
        <v>-0.23782372523684578</v>
      </c>
      <c r="AA44" s="14">
        <f>AA43/AA40</f>
        <v>-0.20134654380383565</v>
      </c>
      <c r="AB44" s="21">
        <f t="shared" si="63"/>
        <v>-0.18400110835014885</v>
      </c>
      <c r="AC44" s="21">
        <f t="shared" si="63"/>
        <v>-0.19365629151641667</v>
      </c>
      <c r="AD44" s="21">
        <f t="shared" si="63"/>
        <v>-0.23166521752082153</v>
      </c>
      <c r="AE44" s="21">
        <f t="shared" si="63"/>
        <v>-0.2217862747895564</v>
      </c>
      <c r="AF44" s="14">
        <f>AF43/AF40</f>
        <v>-0.20836828179066502</v>
      </c>
      <c r="AG44" s="21">
        <f t="shared" si="63"/>
        <v>-0.20738675637067427</v>
      </c>
      <c r="AH44" s="21">
        <f t="shared" si="63"/>
        <v>-0.28376012330180195</v>
      </c>
      <c r="AI44" s="21">
        <f t="shared" ca="1" si="63"/>
        <v>-6.7467150122719435E-2</v>
      </c>
      <c r="AJ44" s="21">
        <f t="shared" ca="1" si="63"/>
        <v>-0.13630747388995187</v>
      </c>
      <c r="AK44" s="14">
        <f ca="1">AK43/AK40</f>
        <v>-0.16698108335757503</v>
      </c>
      <c r="AL44" s="14">
        <f ca="1">AL43/AL40</f>
        <v>-0.20657637894607758</v>
      </c>
      <c r="AM44" s="14">
        <f ca="1">AM43/AM40</f>
        <v>-0.12190449852684532</v>
      </c>
      <c r="AN44" s="14">
        <f t="shared" ref="AN44:AT44" ca="1" si="64">AN43/AN40</f>
        <v>-0.12674322868819365</v>
      </c>
      <c r="AO44" s="14">
        <f t="shared" ca="1" si="64"/>
        <v>-0.13162291501620704</v>
      </c>
      <c r="AP44" s="14">
        <f t="shared" ca="1" si="64"/>
        <v>-0.13681155612415674</v>
      </c>
      <c r="AQ44" s="14">
        <f t="shared" ca="1" si="64"/>
        <v>-0.14208821126138949</v>
      </c>
      <c r="AR44" s="14">
        <f t="shared" ca="1" si="64"/>
        <v>-0.147317847305658</v>
      </c>
      <c r="AS44" s="14">
        <f t="shared" ca="1" si="64"/>
        <v>-0.15241972281681976</v>
      </c>
      <c r="AT44" s="14">
        <f t="shared" ca="1" si="64"/>
        <v>-0.15734754940334533</v>
      </c>
      <c r="AU44" s="8" t="s">
        <v>29</v>
      </c>
    </row>
    <row r="45" spans="2:47" ht="7.95" customHeight="1" x14ac:dyDescent="0.3">
      <c r="G45" s="7"/>
      <c r="L45" s="7"/>
      <c r="Q45" s="7"/>
      <c r="V45" s="7"/>
      <c r="AA45" s="7"/>
      <c r="AF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8" t="s">
        <v>29</v>
      </c>
    </row>
    <row r="46" spans="2:47" ht="16.2" customHeight="1" x14ac:dyDescent="0.3">
      <c r="B46" s="5" t="s">
        <v>55</v>
      </c>
      <c r="C46" s="28">
        <f>C40+C43</f>
        <v>-0.56599999999999939</v>
      </c>
      <c r="D46" s="28">
        <f t="shared" ref="D46:AJ46" si="65">D40+D43</f>
        <v>-1.3790000000000024</v>
      </c>
      <c r="E46" s="28">
        <f t="shared" si="65"/>
        <v>6.8640000000000052</v>
      </c>
      <c r="F46" s="28">
        <f t="shared" si="65"/>
        <v>20.913016808128056</v>
      </c>
      <c r="G46" s="29">
        <f>SUM(C46:F46)</f>
        <v>25.83201680812806</v>
      </c>
      <c r="H46" s="28">
        <f t="shared" si="65"/>
        <v>7.2260000000000044</v>
      </c>
      <c r="I46" s="28">
        <f t="shared" si="65"/>
        <v>13.381045200000045</v>
      </c>
      <c r="J46" s="28">
        <f t="shared" si="65"/>
        <v>21.468621711062021</v>
      </c>
      <c r="K46" s="28">
        <f t="shared" si="65"/>
        <v>35.070051144099814</v>
      </c>
      <c r="L46" s="29">
        <f>SUM(H46:K46)</f>
        <v>77.145718055161893</v>
      </c>
      <c r="M46" s="28">
        <f t="shared" si="65"/>
        <v>19.977166430000082</v>
      </c>
      <c r="N46" s="28">
        <f t="shared" si="65"/>
        <v>17.269748349999997</v>
      </c>
      <c r="O46" s="28">
        <f t="shared" si="65"/>
        <v>24.485020268675985</v>
      </c>
      <c r="P46" s="28">
        <f t="shared" si="65"/>
        <v>34.727788581922042</v>
      </c>
      <c r="Q46" s="29">
        <f>SUM(M46:P46)</f>
        <v>96.459723630598106</v>
      </c>
      <c r="R46" s="28">
        <f t="shared" si="65"/>
        <v>25.087459769999985</v>
      </c>
      <c r="S46" s="28">
        <f t="shared" si="65"/>
        <v>26.831661380000178</v>
      </c>
      <c r="T46" s="28">
        <f t="shared" si="65"/>
        <v>27.163373460000006</v>
      </c>
      <c r="U46" s="28">
        <f t="shared" si="65"/>
        <v>35.327491149499849</v>
      </c>
      <c r="V46" s="29">
        <f>SUM(R46:U46)</f>
        <v>114.40998575950002</v>
      </c>
      <c r="W46" s="28">
        <f t="shared" si="65"/>
        <v>26.385309539999952</v>
      </c>
      <c r="X46" s="28">
        <f t="shared" si="65"/>
        <v>26.245000000000022</v>
      </c>
      <c r="Y46" s="28">
        <f t="shared" si="65"/>
        <v>24.525383040000001</v>
      </c>
      <c r="Z46" s="28">
        <f t="shared" si="65"/>
        <v>40.598342486999947</v>
      </c>
      <c r="AA46" s="29">
        <f>SUM(W46:Z46)</f>
        <v>117.7540350669999</v>
      </c>
      <c r="AB46" s="28">
        <f t="shared" si="65"/>
        <v>34.790612743544941</v>
      </c>
      <c r="AC46" s="28">
        <f t="shared" si="65"/>
        <v>33.989000000000019</v>
      </c>
      <c r="AD46" s="28">
        <f t="shared" si="65"/>
        <v>29.902229056934985</v>
      </c>
      <c r="AE46" s="28">
        <f t="shared" si="65"/>
        <v>43.635999999999974</v>
      </c>
      <c r="AF46" s="29">
        <f>SUM(AB46:AE46)</f>
        <v>142.31784180047993</v>
      </c>
      <c r="AG46" s="28">
        <f t="shared" si="65"/>
        <v>34.400999999999975</v>
      </c>
      <c r="AH46" s="28">
        <f t="shared" si="65"/>
        <v>33.62849369459019</v>
      </c>
      <c r="AI46" s="28">
        <f t="shared" ca="1" si="65"/>
        <v>47.045535707375706</v>
      </c>
      <c r="AJ46" s="28">
        <f t="shared" ca="1" si="65"/>
        <v>62.403603329057042</v>
      </c>
      <c r="AK46" s="29">
        <f ca="1">SUM(AG46:AJ46)</f>
        <v>177.47863273102291</v>
      </c>
      <c r="AL46" s="29">
        <f ca="1">AL40+AL43</f>
        <v>199.59358995649819</v>
      </c>
      <c r="AM46" s="29">
        <f ca="1">AM40+AM43</f>
        <v>261.90012509758947</v>
      </c>
      <c r="AN46" s="29">
        <f t="shared" ref="AN46:AT46" ca="1" si="66">AN40+AN43</f>
        <v>309.05790584094177</v>
      </c>
      <c r="AO46" s="29">
        <f t="shared" ca="1" si="66"/>
        <v>362.26965366330967</v>
      </c>
      <c r="AP46" s="29">
        <f t="shared" ca="1" si="66"/>
        <v>421.8783156623843</v>
      </c>
      <c r="AQ46" s="29">
        <f t="shared" ca="1" si="66"/>
        <v>488.45537302412527</v>
      </c>
      <c r="AR46" s="29">
        <f t="shared" ca="1" si="66"/>
        <v>562.61679481303929</v>
      </c>
      <c r="AS46" s="29">
        <f t="shared" ca="1" si="66"/>
        <v>645.02584391051596</v>
      </c>
      <c r="AT46" s="29">
        <f t="shared" ca="1" si="66"/>
        <v>736.3961283206977</v>
      </c>
      <c r="AU46" s="8" t="s">
        <v>29</v>
      </c>
    </row>
    <row r="47" spans="2:47" ht="16.2" customHeight="1" x14ac:dyDescent="0.3">
      <c r="B47" s="20" t="s">
        <v>56</v>
      </c>
      <c r="G47" s="7"/>
      <c r="H47" s="21">
        <f>H46/C46-1</f>
        <v>-13.766784452296841</v>
      </c>
      <c r="I47" s="21">
        <f>I46/D46-1</f>
        <v>-10.703441044234969</v>
      </c>
      <c r="J47" s="21">
        <f>J46/E46-1</f>
        <v>2.1277129532432988</v>
      </c>
      <c r="K47" s="21">
        <f>K46/F46-1</f>
        <v>0.67694845109431956</v>
      </c>
      <c r="L47" s="14">
        <f>L46/SUM(C46:F46)-1</f>
        <v>1.9864380558504418</v>
      </c>
      <c r="M47" s="21">
        <f>M46/H46-1</f>
        <v>1.7646230874619526</v>
      </c>
      <c r="N47" s="21">
        <f>N46/I46-1</f>
        <v>0.29061281027583252</v>
      </c>
      <c r="O47" s="21">
        <f>O46/J46-1</f>
        <v>0.14050266468944872</v>
      </c>
      <c r="P47" s="21">
        <f>P46/K46-1</f>
        <v>-9.7593972923348815E-3</v>
      </c>
      <c r="Q47" s="14">
        <f>Q46/SUM(H46:K46)-1</f>
        <v>0.25035745420926703</v>
      </c>
      <c r="R47" s="21">
        <f>R46/M46-1</f>
        <v>0.25580671602783855</v>
      </c>
      <c r="S47" s="21">
        <f>S46/N46-1</f>
        <v>0.55367992840498936</v>
      </c>
      <c r="T47" s="21">
        <f>T46/O46-1</f>
        <v>0.10938741981563616</v>
      </c>
      <c r="U47" s="21">
        <f>U46/P46-1</f>
        <v>1.7268665586440246E-2</v>
      </c>
      <c r="V47" s="14">
        <f>V46/SUM(M46:P46)-1</f>
        <v>0.18609074806853254</v>
      </c>
      <c r="W47" s="21">
        <f>W46/R46-1</f>
        <v>5.1733008518939805E-2</v>
      </c>
      <c r="X47" s="21">
        <f>X46/S46-1</f>
        <v>-2.1864519371038393E-2</v>
      </c>
      <c r="Y47" s="21">
        <f>Y46/T46-1</f>
        <v>-9.7115714433799405E-2</v>
      </c>
      <c r="Z47" s="21">
        <f>Z46/U46-1</f>
        <v>0.14919970725333331</v>
      </c>
      <c r="AA47" s="14">
        <f>AA46/SUM(R46:U46)-1</f>
        <v>2.9228648926933554E-2</v>
      </c>
      <c r="AB47" s="21">
        <f>AB46/W46-1</f>
        <v>0.31855996196681358</v>
      </c>
      <c r="AC47" s="21">
        <f>AC46/X46-1</f>
        <v>0.29506572680510534</v>
      </c>
      <c r="AD47" s="21">
        <f>AD46/Y46-1</f>
        <v>0.21923596496599229</v>
      </c>
      <c r="AE47" s="21">
        <f>AE46/Z46-1</f>
        <v>7.482220521620353E-2</v>
      </c>
      <c r="AF47" s="14">
        <f>AF46/SUM(W46:Z46)-1</f>
        <v>0.20860267522470588</v>
      </c>
      <c r="AG47" s="21">
        <f>AG46/AB46-1</f>
        <v>-1.119878935208618E-2</v>
      </c>
      <c r="AH47" s="21">
        <f>AH46/AC46-1</f>
        <v>-1.06065581632242E-2</v>
      </c>
      <c r="AI47" s="21">
        <f ca="1">AI46/AD46-1</f>
        <v>0.57331199683472467</v>
      </c>
      <c r="AJ47" s="21">
        <f ca="1">AJ46/AE46-1</f>
        <v>0.43009449374500597</v>
      </c>
      <c r="AK47" s="14">
        <f ca="1">AK46/SUM(AB46:AE46)-1</f>
        <v>0.2470582077813972</v>
      </c>
      <c r="AL47" s="14">
        <f ca="1">AL46/AK46-1</f>
        <v>0.12460630829284969</v>
      </c>
      <c r="AM47" s="14">
        <f ca="1">AM46/AL46-1</f>
        <v>0.31216701475568986</v>
      </c>
      <c r="AN47" s="14">
        <f t="shared" ref="AN47:AT47" ca="1" si="67">AN46/AM46-1</f>
        <v>0.18006016883642317</v>
      </c>
      <c r="AO47" s="14">
        <f t="shared" ca="1" si="67"/>
        <v>0.17217403864036274</v>
      </c>
      <c r="AP47" s="14">
        <f t="shared" ca="1" si="67"/>
        <v>0.16454224469619638</v>
      </c>
      <c r="AQ47" s="14">
        <f t="shared" ca="1" si="67"/>
        <v>0.15781104382482747</v>
      </c>
      <c r="AR47" s="14">
        <f t="shared" ca="1" si="67"/>
        <v>0.15182844919847183</v>
      </c>
      <c r="AS47" s="14">
        <f t="shared" ca="1" si="67"/>
        <v>0.14647456289473482</v>
      </c>
      <c r="AT47" s="14">
        <f t="shared" ca="1" si="67"/>
        <v>0.14165367988396049</v>
      </c>
      <c r="AU47" s="8" t="s">
        <v>29</v>
      </c>
    </row>
    <row r="48" spans="2:47" ht="16.2" customHeight="1" x14ac:dyDescent="0.3">
      <c r="B48" s="20" t="s">
        <v>57</v>
      </c>
      <c r="C48" s="21">
        <f>C46/C16</f>
        <v>-1.0083015641144394E-2</v>
      </c>
      <c r="D48" s="21">
        <f t="shared" ref="D48:AJ48" si="68">D46/D16</f>
        <v>-5.8848632270729416E-2</v>
      </c>
      <c r="E48" s="21">
        <f t="shared" si="68"/>
        <v>0.10357940484094895</v>
      </c>
      <c r="F48" s="21">
        <f t="shared" si="68"/>
        <v>0.17214551389976726</v>
      </c>
      <c r="G48" s="14">
        <f>G46/G16</f>
        <v>9.6633481400905719E-2</v>
      </c>
      <c r="H48" s="21">
        <f t="shared" si="68"/>
        <v>0.11341484469417551</v>
      </c>
      <c r="I48" s="21">
        <f t="shared" si="68"/>
        <v>0.14168982306038869</v>
      </c>
      <c r="J48" s="21">
        <f t="shared" si="68"/>
        <v>0.17205038737197409</v>
      </c>
      <c r="K48" s="21">
        <f t="shared" si="68"/>
        <v>0.23124305350770519</v>
      </c>
      <c r="L48" s="14">
        <f>L46/L16</f>
        <v>0.17751303677464522</v>
      </c>
      <c r="M48" s="21">
        <f t="shared" si="68"/>
        <v>0.17753693816430346</v>
      </c>
      <c r="N48" s="21">
        <f t="shared" si="68"/>
        <v>0.13138583530503714</v>
      </c>
      <c r="O48" s="21">
        <f t="shared" si="68"/>
        <v>0.17723888516345623</v>
      </c>
      <c r="P48" s="21">
        <f t="shared" si="68"/>
        <v>0.18740172564066029</v>
      </c>
      <c r="Q48" s="14">
        <f>Q46/Q16</f>
        <v>0.1699952480686435</v>
      </c>
      <c r="R48" s="21">
        <f t="shared" si="68"/>
        <v>0.17705878869362682</v>
      </c>
      <c r="S48" s="21">
        <f t="shared" si="68"/>
        <v>0.17224583266291921</v>
      </c>
      <c r="T48" s="21">
        <f t="shared" si="68"/>
        <v>0.16535031448369866</v>
      </c>
      <c r="U48" s="21">
        <f t="shared" si="68"/>
        <v>0.15917084326212946</v>
      </c>
      <c r="V48" s="14">
        <f>V46/V16</f>
        <v>0.16734187557976771</v>
      </c>
      <c r="W48" s="21">
        <f t="shared" si="68"/>
        <v>0.16274068216442231</v>
      </c>
      <c r="X48" s="21">
        <f t="shared" si="68"/>
        <v>0.13669128446578693</v>
      </c>
      <c r="Y48" s="21">
        <f t="shared" si="68"/>
        <v>0.12002536540484988</v>
      </c>
      <c r="Z48" s="21">
        <f t="shared" si="68"/>
        <v>0.1485535289746093</v>
      </c>
      <c r="AA48" s="14">
        <f>AA46/AA16</f>
        <v>0.14157230047044866</v>
      </c>
      <c r="AB48" s="21">
        <f t="shared" si="68"/>
        <v>0.16350047814961952</v>
      </c>
      <c r="AC48" s="21">
        <f t="shared" si="68"/>
        <v>0.14039761907712398</v>
      </c>
      <c r="AD48" s="21">
        <f t="shared" si="68"/>
        <v>0.11135567874209111</v>
      </c>
      <c r="AE48" s="21">
        <f t="shared" si="68"/>
        <v>0.1350516548748707</v>
      </c>
      <c r="AF48" s="14">
        <f>AF46/AF16</f>
        <v>0.13599255603421645</v>
      </c>
      <c r="AG48" s="21">
        <f t="shared" si="68"/>
        <v>0.13696955701192068</v>
      </c>
      <c r="AH48" s="21">
        <f t="shared" si="68"/>
        <v>0.12906841057632512</v>
      </c>
      <c r="AI48" s="21">
        <f t="shared" ca="1" si="68"/>
        <v>0.17101326779931053</v>
      </c>
      <c r="AJ48" s="21">
        <f t="shared" ca="1" si="68"/>
        <v>0.16983338108900325</v>
      </c>
      <c r="AK48" s="14">
        <f ca="1">AK46/AK16</f>
        <v>0.15376170148828289</v>
      </c>
      <c r="AL48" s="14">
        <f ca="1">AL46/AL16</f>
        <v>0.15154328663404223</v>
      </c>
      <c r="AM48" s="14">
        <f ca="1">AM46/AM16</f>
        <v>0.17483336320153875</v>
      </c>
      <c r="AN48" s="14">
        <f t="shared" ref="AN48:AT48" ca="1" si="69">AN46/AN16</f>
        <v>0.18256564041369025</v>
      </c>
      <c r="AO48" s="14">
        <f t="shared" ca="1" si="69"/>
        <v>0.19041311374274814</v>
      </c>
      <c r="AP48" s="14">
        <f t="shared" ca="1" si="69"/>
        <v>0.19825097840551933</v>
      </c>
      <c r="AQ48" s="14">
        <f t="shared" ca="1" si="69"/>
        <v>0.20607992641673928</v>
      </c>
      <c r="AR48" s="14">
        <f t="shared" ca="1" si="69"/>
        <v>0.21390108373133326</v>
      </c>
      <c r="AS48" s="14">
        <f t="shared" ca="1" si="69"/>
        <v>0.22171573901759717</v>
      </c>
      <c r="AT48" s="14">
        <f t="shared" ca="1" si="69"/>
        <v>0.22952519907642555</v>
      </c>
      <c r="AU48" s="8" t="s">
        <v>29</v>
      </c>
    </row>
    <row r="49" spans="1:47" ht="16.2" customHeight="1" x14ac:dyDescent="0.3">
      <c r="G49" s="7"/>
      <c r="L49" s="7"/>
      <c r="Q49" s="7"/>
      <c r="V49" s="7"/>
      <c r="AA49" s="7"/>
      <c r="AF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8" t="s">
        <v>29</v>
      </c>
    </row>
    <row r="50" spans="1:47" ht="16.2" customHeight="1" x14ac:dyDescent="0.3">
      <c r="A50" s="9" t="s">
        <v>30</v>
      </c>
      <c r="B50" s="10" t="s">
        <v>58</v>
      </c>
      <c r="C50" s="11"/>
      <c r="D50" s="11"/>
      <c r="E50" s="11"/>
      <c r="F50" s="11"/>
      <c r="G50" s="12"/>
      <c r="H50" s="11"/>
      <c r="I50" s="11"/>
      <c r="J50" s="11"/>
      <c r="K50" s="11"/>
      <c r="L50" s="12"/>
      <c r="M50" s="11"/>
      <c r="N50" s="11"/>
      <c r="O50" s="11"/>
      <c r="P50" s="11"/>
      <c r="Q50" s="12"/>
      <c r="R50" s="11"/>
      <c r="S50" s="11"/>
      <c r="T50" s="11"/>
      <c r="U50" s="11"/>
      <c r="V50" s="12"/>
      <c r="W50" s="11"/>
      <c r="X50" s="11"/>
      <c r="Y50" s="11"/>
      <c r="Z50" s="11"/>
      <c r="AA50" s="12"/>
      <c r="AB50" s="11"/>
      <c r="AC50" s="11"/>
      <c r="AD50" s="11"/>
      <c r="AE50" s="11"/>
      <c r="AF50" s="12"/>
      <c r="AG50" s="11"/>
      <c r="AH50" s="11"/>
      <c r="AI50" s="11"/>
      <c r="AJ50" s="11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8" t="s">
        <v>29</v>
      </c>
    </row>
    <row r="51" spans="1:47" ht="7.95" customHeight="1" x14ac:dyDescent="0.3">
      <c r="G51" s="7"/>
      <c r="L51" s="7"/>
      <c r="Q51" s="7"/>
      <c r="V51" s="7"/>
      <c r="AA51" s="7"/>
      <c r="AF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8" t="s">
        <v>29</v>
      </c>
    </row>
    <row r="52" spans="1:47" ht="16.2" customHeight="1" x14ac:dyDescent="0.3">
      <c r="B52" s="5" t="s">
        <v>59</v>
      </c>
      <c r="C52" s="18">
        <f t="shared" ref="C52:AJ52" si="70">C53+C59</f>
        <v>263.33000000000004</v>
      </c>
      <c r="D52" s="18">
        <f t="shared" si="70"/>
        <v>284.10599999999999</v>
      </c>
      <c r="E52" s="18">
        <f t="shared" si="70"/>
        <v>309.55400000000003</v>
      </c>
      <c r="F52" s="18">
        <f t="shared" si="70"/>
        <v>356.846</v>
      </c>
      <c r="G52" s="19">
        <f t="shared" ref="G52:G66" si="71">F52</f>
        <v>356.846</v>
      </c>
      <c r="H52" s="18">
        <f t="shared" si="70"/>
        <v>369.26000000000005</v>
      </c>
      <c r="I52" s="18">
        <f t="shared" si="70"/>
        <v>380.35199999999998</v>
      </c>
      <c r="J52" s="18">
        <f t="shared" si="70"/>
        <v>420.60900000000004</v>
      </c>
      <c r="K52" s="18">
        <f t="shared" si="70"/>
        <v>474.90599999999995</v>
      </c>
      <c r="L52" s="19">
        <f t="shared" ref="L52:L66" si="72">K52</f>
        <v>474.90599999999995</v>
      </c>
      <c r="M52" s="18">
        <f t="shared" si="70"/>
        <v>484.29899999999998</v>
      </c>
      <c r="N52" s="18">
        <f t="shared" si="70"/>
        <v>500.83900000000006</v>
      </c>
      <c r="O52" s="18">
        <f t="shared" si="70"/>
        <v>517.05799999999999</v>
      </c>
      <c r="P52" s="18">
        <f t="shared" si="70"/>
        <v>579.85900000000004</v>
      </c>
      <c r="Q52" s="19">
        <f t="shared" ref="Q52:Q66" si="73">P52</f>
        <v>579.85900000000004</v>
      </c>
      <c r="R52" s="18">
        <f t="shared" si="70"/>
        <v>587.34199999999998</v>
      </c>
      <c r="S52" s="18">
        <f t="shared" si="70"/>
        <v>594.83299999999997</v>
      </c>
      <c r="T52" s="18">
        <f t="shared" si="70"/>
        <v>621.26099999999997</v>
      </c>
      <c r="U52" s="18">
        <f t="shared" si="70"/>
        <v>682.10200000000009</v>
      </c>
      <c r="V52" s="19">
        <f t="shared" ref="V52:V66" si="74">U52</f>
        <v>682.10200000000009</v>
      </c>
      <c r="W52" s="18">
        <f t="shared" si="70"/>
        <v>696.28500000000008</v>
      </c>
      <c r="X52" s="18">
        <f t="shared" si="70"/>
        <v>706.39400000000001</v>
      </c>
      <c r="Y52" s="18">
        <f t="shared" si="70"/>
        <v>728.86199999999985</v>
      </c>
      <c r="Z52" s="18">
        <f t="shared" si="70"/>
        <v>825.16599999999994</v>
      </c>
      <c r="AA52" s="19">
        <f t="shared" ref="AA52:AA66" si="75">Z52</f>
        <v>825.16599999999994</v>
      </c>
      <c r="AB52" s="18">
        <f t="shared" si="70"/>
        <v>829.40099999999995</v>
      </c>
      <c r="AC52" s="18">
        <f t="shared" si="70"/>
        <v>822.78100000000006</v>
      </c>
      <c r="AD52" s="18">
        <f t="shared" si="70"/>
        <v>901.33100000000002</v>
      </c>
      <c r="AE52" s="18">
        <f>AE53+AE59</f>
        <v>974.20600000000002</v>
      </c>
      <c r="AF52" s="19">
        <f t="shared" ref="AF52:AF66" si="76">AE52</f>
        <v>974.20600000000002</v>
      </c>
      <c r="AG52" s="18">
        <f t="shared" si="70"/>
        <v>1003.133</v>
      </c>
      <c r="AH52" s="18">
        <f t="shared" ca="1" si="70"/>
        <v>1012.6063277616036</v>
      </c>
      <c r="AI52" s="18">
        <f t="shared" ca="1" si="70"/>
        <v>1051.4643832738552</v>
      </c>
      <c r="AJ52" s="18">
        <f t="shared" ca="1" si="70"/>
        <v>1130.0686125342486</v>
      </c>
      <c r="AK52" s="19">
        <f t="shared" ref="AK52:AK66" ca="1" si="77">AJ52</f>
        <v>1130.0686125342486</v>
      </c>
      <c r="AL52" s="19">
        <f ca="1">AL53+AL59</f>
        <v>1288.1376716050117</v>
      </c>
      <c r="AM52" s="19">
        <f ca="1">AM53+AM59</f>
        <v>1460.9191938026961</v>
      </c>
      <c r="AN52" s="19">
        <f t="shared" ref="AN52:AT52" ca="1" si="78">AN53+AN59</f>
        <v>1646.3929469433306</v>
      </c>
      <c r="AO52" s="19">
        <f t="shared" ca="1" si="78"/>
        <v>1845.5390884673452</v>
      </c>
      <c r="AP52" s="19">
        <f t="shared" ca="1" si="78"/>
        <v>2059.3661154537044</v>
      </c>
      <c r="AQ52" s="19">
        <f t="shared" ca="1" si="78"/>
        <v>2288.9188148599178</v>
      </c>
      <c r="AR52" s="19">
        <f t="shared" ca="1" si="78"/>
        <v>2535.2851871718253</v>
      </c>
      <c r="AS52" s="19">
        <f t="shared" ca="1" si="78"/>
        <v>2799.6026512007516</v>
      </c>
      <c r="AT52" s="19">
        <f t="shared" ca="1" si="78"/>
        <v>3083.0637582047557</v>
      </c>
      <c r="AU52" s="8" t="s">
        <v>29</v>
      </c>
    </row>
    <row r="53" spans="1:47" ht="16.2" customHeight="1" x14ac:dyDescent="0.3">
      <c r="B53" s="30" t="s">
        <v>60</v>
      </c>
      <c r="C53" s="28">
        <f t="shared" ref="C53:AJ53" si="79">SUM(C54:C58)</f>
        <v>174.94200000000001</v>
      </c>
      <c r="D53" s="28">
        <f t="shared" si="79"/>
        <v>194.39700000000002</v>
      </c>
      <c r="E53" s="28">
        <f t="shared" si="79"/>
        <v>221.45400000000004</v>
      </c>
      <c r="F53" s="28">
        <f t="shared" si="79"/>
        <v>281.10500000000002</v>
      </c>
      <c r="G53" s="29">
        <f t="shared" si="71"/>
        <v>281.10500000000002</v>
      </c>
      <c r="H53" s="28">
        <f t="shared" si="79"/>
        <v>277.58300000000003</v>
      </c>
      <c r="I53" s="28">
        <f t="shared" si="79"/>
        <v>283.43</v>
      </c>
      <c r="J53" s="28">
        <f t="shared" si="79"/>
        <v>325.904</v>
      </c>
      <c r="K53" s="28">
        <f t="shared" si="79"/>
        <v>367.03099999999995</v>
      </c>
      <c r="L53" s="29">
        <f t="shared" si="72"/>
        <v>367.03099999999995</v>
      </c>
      <c r="M53" s="28">
        <f t="shared" si="79"/>
        <v>369.24699999999996</v>
      </c>
      <c r="N53" s="28">
        <f t="shared" si="79"/>
        <v>373.49500000000006</v>
      </c>
      <c r="O53" s="28">
        <f t="shared" si="79"/>
        <v>374.53699999999998</v>
      </c>
      <c r="P53" s="28">
        <f t="shared" si="79"/>
        <v>427.79300000000001</v>
      </c>
      <c r="Q53" s="29">
        <f t="shared" si="73"/>
        <v>427.79300000000001</v>
      </c>
      <c r="R53" s="28">
        <f t="shared" si="79"/>
        <v>429.87099999999998</v>
      </c>
      <c r="S53" s="28">
        <f t="shared" si="79"/>
        <v>426.28800000000001</v>
      </c>
      <c r="T53" s="28">
        <f t="shared" si="79"/>
        <v>441.56799999999998</v>
      </c>
      <c r="U53" s="28">
        <f t="shared" si="79"/>
        <v>502.70500000000004</v>
      </c>
      <c r="V53" s="29">
        <f t="shared" si="74"/>
        <v>502.70500000000004</v>
      </c>
      <c r="W53" s="28">
        <f t="shared" si="79"/>
        <v>507.96700000000004</v>
      </c>
      <c r="X53" s="28">
        <f t="shared" si="79"/>
        <v>500.14899999999994</v>
      </c>
      <c r="Y53" s="28">
        <f t="shared" si="79"/>
        <v>512.0089999999999</v>
      </c>
      <c r="Z53" s="28">
        <f t="shared" si="79"/>
        <v>568.52099999999996</v>
      </c>
      <c r="AA53" s="29">
        <f t="shared" si="75"/>
        <v>568.52099999999996</v>
      </c>
      <c r="AB53" s="28">
        <f t="shared" si="79"/>
        <v>572.26499999999999</v>
      </c>
      <c r="AC53" s="28">
        <f t="shared" si="79"/>
        <v>562.66200000000003</v>
      </c>
      <c r="AD53" s="28">
        <f t="shared" si="79"/>
        <v>612.62900000000002</v>
      </c>
      <c r="AE53" s="28">
        <f>SUM(AE54:AE58)</f>
        <v>681.16600000000005</v>
      </c>
      <c r="AF53" s="29">
        <f t="shared" si="76"/>
        <v>681.16600000000005</v>
      </c>
      <c r="AG53" s="28">
        <f t="shared" si="79"/>
        <v>696.96499999999992</v>
      </c>
      <c r="AH53" s="28">
        <f t="shared" si="79"/>
        <v>699.3536516539375</v>
      </c>
      <c r="AI53" s="28">
        <f t="shared" si="79"/>
        <v>715.88375280147602</v>
      </c>
      <c r="AJ53" s="28">
        <f t="shared" si="79"/>
        <v>779.05290802739205</v>
      </c>
      <c r="AK53" s="29">
        <f t="shared" si="77"/>
        <v>779.05290802739205</v>
      </c>
      <c r="AL53" s="29">
        <f>SUM(AL54:AL58)</f>
        <v>876.07324925545095</v>
      </c>
      <c r="AM53" s="29">
        <f>SUM(AM54:AM58)</f>
        <v>983.87659851717672</v>
      </c>
      <c r="AN53" s="29">
        <f t="shared" ref="AN53:AT53" si="80">SUM(AN54:AN58)</f>
        <v>1099.9831059952178</v>
      </c>
      <c r="AO53" s="29">
        <f t="shared" si="80"/>
        <v>1224.9236379473311</v>
      </c>
      <c r="AP53" s="29">
        <f t="shared" si="80"/>
        <v>1359.2599453476842</v>
      </c>
      <c r="AQ53" s="29">
        <f t="shared" si="80"/>
        <v>1503.5863641617368</v>
      </c>
      <c r="AR53" s="29">
        <f t="shared" si="80"/>
        <v>1658.5316062487439</v>
      </c>
      <c r="AS53" s="29">
        <f t="shared" si="80"/>
        <v>1824.7606456515427</v>
      </c>
      <c r="AT53" s="29">
        <f t="shared" si="80"/>
        <v>2002.976705283804</v>
      </c>
      <c r="AU53" s="8" t="s">
        <v>29</v>
      </c>
    </row>
    <row r="54" spans="1:47" ht="16.2" customHeight="1" x14ac:dyDescent="0.3">
      <c r="B54" s="24" t="s">
        <v>61</v>
      </c>
      <c r="C54" s="22">
        <v>74.394999999999996</v>
      </c>
      <c r="D54" s="22">
        <v>86.768000000000001</v>
      </c>
      <c r="E54" s="22">
        <v>77.260000000000005</v>
      </c>
      <c r="F54" s="22">
        <v>89.076999999999998</v>
      </c>
      <c r="G54" s="23">
        <f t="shared" si="71"/>
        <v>89.076999999999998</v>
      </c>
      <c r="H54" s="22">
        <v>85.998000000000005</v>
      </c>
      <c r="I54" s="22">
        <v>63.421999999999997</v>
      </c>
      <c r="J54" s="22">
        <v>63.2</v>
      </c>
      <c r="K54" s="22">
        <v>66.771000000000001</v>
      </c>
      <c r="L54" s="23">
        <f t="shared" si="72"/>
        <v>66.771000000000001</v>
      </c>
      <c r="M54" s="22">
        <v>74.358999999999995</v>
      </c>
      <c r="N54" s="22">
        <v>60.670999999999999</v>
      </c>
      <c r="O54" s="22">
        <v>53.347000000000001</v>
      </c>
      <c r="P54" s="22">
        <v>60.488999999999997</v>
      </c>
      <c r="Q54" s="23">
        <f t="shared" si="73"/>
        <v>60.488999999999997</v>
      </c>
      <c r="R54" s="22">
        <v>63.286000000000001</v>
      </c>
      <c r="S54" s="22">
        <v>39.929000000000002</v>
      </c>
      <c r="T54" s="22">
        <v>46.274000000000001</v>
      </c>
      <c r="U54" s="22">
        <v>54.476999999999997</v>
      </c>
      <c r="V54" s="23">
        <f t="shared" si="74"/>
        <v>54.476999999999997</v>
      </c>
      <c r="W54" s="22">
        <v>82.179000000000002</v>
      </c>
      <c r="X54" s="22">
        <v>66.988</v>
      </c>
      <c r="Y54" s="22">
        <v>47.356999999999999</v>
      </c>
      <c r="Z54" s="22">
        <v>23.41</v>
      </c>
      <c r="AA54" s="23">
        <f t="shared" si="75"/>
        <v>23.41</v>
      </c>
      <c r="AB54" s="22">
        <v>50.44</v>
      </c>
      <c r="AC54" s="22">
        <v>23.673999999999999</v>
      </c>
      <c r="AD54" s="22">
        <v>20.658000000000001</v>
      </c>
      <c r="AE54" s="22">
        <v>35.255000000000003</v>
      </c>
      <c r="AF54" s="23">
        <f t="shared" si="76"/>
        <v>35.255000000000003</v>
      </c>
      <c r="AG54" s="22">
        <v>63.637</v>
      </c>
      <c r="AH54" s="22">
        <f>AH126</f>
        <v>63.637</v>
      </c>
      <c r="AI54" s="22">
        <f t="shared" ref="AI54:AJ54" si="81">AI126</f>
        <v>63.637</v>
      </c>
      <c r="AJ54" s="22">
        <f t="shared" si="81"/>
        <v>63.637</v>
      </c>
      <c r="AK54" s="23">
        <f t="shared" si="77"/>
        <v>63.637</v>
      </c>
      <c r="AL54" s="23">
        <f>AL126</f>
        <v>63.637</v>
      </c>
      <c r="AM54" s="23">
        <f>AM126</f>
        <v>63.637</v>
      </c>
      <c r="AN54" s="23">
        <f t="shared" ref="AN54:AT54" si="82">AN126</f>
        <v>63.637</v>
      </c>
      <c r="AO54" s="23">
        <f t="shared" si="82"/>
        <v>63.637</v>
      </c>
      <c r="AP54" s="23">
        <f t="shared" si="82"/>
        <v>63.637</v>
      </c>
      <c r="AQ54" s="23">
        <f t="shared" si="82"/>
        <v>63.637</v>
      </c>
      <c r="AR54" s="23">
        <f t="shared" si="82"/>
        <v>63.637</v>
      </c>
      <c r="AS54" s="23">
        <f t="shared" si="82"/>
        <v>63.637</v>
      </c>
      <c r="AT54" s="23">
        <f t="shared" si="82"/>
        <v>63.637</v>
      </c>
      <c r="AU54" s="8" t="s">
        <v>29</v>
      </c>
    </row>
    <row r="55" spans="1:47" ht="16.2" customHeight="1" x14ac:dyDescent="0.3">
      <c r="B55" s="24" t="s">
        <v>62</v>
      </c>
      <c r="C55" s="22">
        <v>18.664999999999999</v>
      </c>
      <c r="D55" s="22">
        <v>30.469000000000001</v>
      </c>
      <c r="E55" s="22">
        <v>51.710999999999999</v>
      </c>
      <c r="F55" s="22">
        <v>98.980999999999995</v>
      </c>
      <c r="G55" s="23">
        <f t="shared" si="71"/>
        <v>98.980999999999995</v>
      </c>
      <c r="H55" s="22">
        <v>56.055999999999997</v>
      </c>
      <c r="I55" s="22">
        <v>70.373999999999995</v>
      </c>
      <c r="J55" s="22">
        <v>92.998999999999995</v>
      </c>
      <c r="K55" s="22">
        <v>125.322</v>
      </c>
      <c r="L55" s="23">
        <f t="shared" si="72"/>
        <v>125.322</v>
      </c>
      <c r="M55" s="22">
        <v>84.68</v>
      </c>
      <c r="N55" s="22">
        <v>92.551000000000002</v>
      </c>
      <c r="O55" s="22">
        <v>98.753</v>
      </c>
      <c r="P55" s="22">
        <v>152.76900000000001</v>
      </c>
      <c r="Q55" s="23">
        <f t="shared" si="73"/>
        <v>152.76900000000001</v>
      </c>
      <c r="R55" s="22">
        <v>115.381</v>
      </c>
      <c r="S55" s="22">
        <v>117.827</v>
      </c>
      <c r="T55" s="22">
        <v>126.392</v>
      </c>
      <c r="U55" s="22">
        <v>196.536</v>
      </c>
      <c r="V55" s="23">
        <f t="shared" si="74"/>
        <v>196.536</v>
      </c>
      <c r="W55" s="22">
        <v>148.74299999999999</v>
      </c>
      <c r="X55" s="22">
        <v>152.94900000000001</v>
      </c>
      <c r="Y55" s="22">
        <v>147.733</v>
      </c>
      <c r="Z55" s="22">
        <v>241.66399999999999</v>
      </c>
      <c r="AA55" s="23">
        <f t="shared" si="75"/>
        <v>241.66399999999999</v>
      </c>
      <c r="AB55" s="22">
        <v>173.739</v>
      </c>
      <c r="AC55" s="22">
        <v>176.61500000000001</v>
      </c>
      <c r="AD55" s="22">
        <v>206.108</v>
      </c>
      <c r="AE55" s="22">
        <v>286.62200000000001</v>
      </c>
      <c r="AF55" s="23">
        <f t="shared" si="76"/>
        <v>286.62200000000001</v>
      </c>
      <c r="AG55" s="22">
        <v>221.45699999999999</v>
      </c>
      <c r="AH55" s="22">
        <f>AH291</f>
        <v>208.97148841969906</v>
      </c>
      <c r="AI55" s="22">
        <f t="shared" ref="AI55:AJ55" si="83">AI291</f>
        <v>229.51955133864166</v>
      </c>
      <c r="AJ55" s="22">
        <f t="shared" si="83"/>
        <v>316.12817755305389</v>
      </c>
      <c r="AK55" s="23">
        <f t="shared" si="77"/>
        <v>316.12817755305389</v>
      </c>
      <c r="AL55" s="23">
        <f>AL291</f>
        <v>360.72413212900148</v>
      </c>
      <c r="AM55" s="23">
        <f>AM291</f>
        <v>410.2765580013251</v>
      </c>
      <c r="AN55" s="23">
        <f t="shared" ref="AN55:AT55" si="84">AN291</f>
        <v>463.64557802251164</v>
      </c>
      <c r="AO55" s="23">
        <f t="shared" si="84"/>
        <v>521.07520790325827</v>
      </c>
      <c r="AP55" s="23">
        <f t="shared" si="84"/>
        <v>582.82365969074874</v>
      </c>
      <c r="AQ55" s="23">
        <f t="shared" si="84"/>
        <v>649.16412330972469</v>
      </c>
      <c r="AR55" s="23">
        <f t="shared" si="84"/>
        <v>720.38558976106071</v>
      </c>
      <c r="AS55" s="23">
        <f t="shared" si="84"/>
        <v>796.79371816565026</v>
      </c>
      <c r="AT55" s="23">
        <f t="shared" si="84"/>
        <v>878.71174895655975</v>
      </c>
      <c r="AU55" s="8" t="s">
        <v>29</v>
      </c>
    </row>
    <row r="56" spans="1:47" ht="16.2" customHeight="1" x14ac:dyDescent="0.3">
      <c r="B56" s="24" t="s">
        <v>63</v>
      </c>
      <c r="C56" s="22">
        <v>64.084000000000003</v>
      </c>
      <c r="D56" s="22">
        <v>61.258000000000003</v>
      </c>
      <c r="E56" s="22">
        <v>77.718000000000004</v>
      </c>
      <c r="F56" s="22">
        <v>79.900999999999996</v>
      </c>
      <c r="G56" s="23">
        <f t="shared" si="71"/>
        <v>79.900999999999996</v>
      </c>
      <c r="H56" s="22">
        <v>115.821</v>
      </c>
      <c r="I56" s="22">
        <v>133.53800000000001</v>
      </c>
      <c r="J56" s="22">
        <v>148.202</v>
      </c>
      <c r="K56" s="22">
        <v>158.63800000000001</v>
      </c>
      <c r="L56" s="23">
        <f t="shared" si="72"/>
        <v>158.63800000000001</v>
      </c>
      <c r="M56" s="22">
        <v>197.631</v>
      </c>
      <c r="N56" s="22">
        <v>207.751</v>
      </c>
      <c r="O56" s="22">
        <v>212.12899999999999</v>
      </c>
      <c r="P56" s="22">
        <v>204.46600000000001</v>
      </c>
      <c r="Q56" s="23">
        <f t="shared" si="73"/>
        <v>204.46600000000001</v>
      </c>
      <c r="R56" s="22">
        <v>240.17</v>
      </c>
      <c r="S56" s="22">
        <v>253.857</v>
      </c>
      <c r="T56" s="22">
        <v>254.42500000000001</v>
      </c>
      <c r="U56" s="22">
        <v>232.85599999999999</v>
      </c>
      <c r="V56" s="23">
        <f t="shared" si="74"/>
        <v>232.85599999999999</v>
      </c>
      <c r="W56" s="22">
        <v>253.506</v>
      </c>
      <c r="X56" s="22">
        <v>260.53699999999998</v>
      </c>
      <c r="Y56" s="22">
        <v>296.40199999999999</v>
      </c>
      <c r="Z56" s="22">
        <v>289.39600000000002</v>
      </c>
      <c r="AA56" s="23">
        <f t="shared" si="75"/>
        <v>289.39600000000002</v>
      </c>
      <c r="AB56" s="22">
        <v>328.488</v>
      </c>
      <c r="AC56" s="22">
        <v>337.28699999999998</v>
      </c>
      <c r="AD56" s="22">
        <v>354.76400000000001</v>
      </c>
      <c r="AE56" s="22">
        <v>336.93599999999998</v>
      </c>
      <c r="AF56" s="23">
        <f t="shared" si="76"/>
        <v>336.93599999999998</v>
      </c>
      <c r="AG56" s="22">
        <v>384.20499999999998</v>
      </c>
      <c r="AH56" s="22">
        <f>AH294</f>
        <v>399.07916323423854</v>
      </c>
      <c r="AI56" s="22">
        <f t="shared" ref="AI56:AJ56" si="85">AI294</f>
        <v>395.0612014628345</v>
      </c>
      <c r="AJ56" s="22">
        <f t="shared" si="85"/>
        <v>371.62173047433816</v>
      </c>
      <c r="AK56" s="23">
        <f t="shared" si="77"/>
        <v>371.62173047433816</v>
      </c>
      <c r="AL56" s="23">
        <f>AL294</f>
        <v>424.04611712644953</v>
      </c>
      <c r="AM56" s="23">
        <f>AM294</f>
        <v>482.29704051585168</v>
      </c>
      <c r="AN56" s="23">
        <f t="shared" ref="AN56:AT56" si="86">AN294</f>
        <v>545.03452797270597</v>
      </c>
      <c r="AO56" s="23">
        <f t="shared" si="86"/>
        <v>612.54543004407265</v>
      </c>
      <c r="AP56" s="23">
        <f t="shared" si="86"/>
        <v>685.13328565693519</v>
      </c>
      <c r="AQ56" s="23">
        <f t="shared" si="86"/>
        <v>763.1192408520119</v>
      </c>
      <c r="AR56" s="23">
        <f t="shared" si="86"/>
        <v>846.84301648768292</v>
      </c>
      <c r="AS56" s="23">
        <f t="shared" si="86"/>
        <v>936.66392748589249</v>
      </c>
      <c r="AT56" s="23">
        <f t="shared" si="86"/>
        <v>1032.961956327244</v>
      </c>
      <c r="AU56" s="8" t="s">
        <v>29</v>
      </c>
    </row>
    <row r="57" spans="1:47" ht="16.2" customHeight="1" x14ac:dyDescent="0.3">
      <c r="B57" s="24" t="s">
        <v>64</v>
      </c>
      <c r="C57" s="22">
        <v>13.407</v>
      </c>
      <c r="D57" s="22">
        <v>11.49</v>
      </c>
      <c r="E57" s="22">
        <v>9.0730000000000004</v>
      </c>
      <c r="F57" s="22">
        <v>11.523</v>
      </c>
      <c r="G57" s="23">
        <f t="shared" si="71"/>
        <v>11.523</v>
      </c>
      <c r="H57" s="22">
        <v>16.54</v>
      </c>
      <c r="I57" s="22">
        <v>14.124000000000001</v>
      </c>
      <c r="J57" s="22">
        <v>18.123000000000001</v>
      </c>
      <c r="K57" s="22">
        <v>13.263</v>
      </c>
      <c r="L57" s="23">
        <f t="shared" si="72"/>
        <v>13.263</v>
      </c>
      <c r="M57" s="22">
        <v>8.8559999999999999</v>
      </c>
      <c r="N57" s="22">
        <v>8.9220000000000006</v>
      </c>
      <c r="O57" s="22">
        <v>5.9260000000000002</v>
      </c>
      <c r="P57" s="22">
        <v>4.9379999999999997</v>
      </c>
      <c r="Q57" s="23">
        <f t="shared" si="73"/>
        <v>4.9379999999999997</v>
      </c>
      <c r="R57" s="22">
        <v>4.9619999999999997</v>
      </c>
      <c r="S57" s="22">
        <v>6.0339999999999998</v>
      </c>
      <c r="T57" s="22">
        <v>6.3490000000000002</v>
      </c>
      <c r="U57" s="22">
        <v>10.336</v>
      </c>
      <c r="V57" s="23">
        <f t="shared" si="74"/>
        <v>10.336</v>
      </c>
      <c r="W57" s="22">
        <v>10.914999999999999</v>
      </c>
      <c r="X57" s="22">
        <v>4.359</v>
      </c>
      <c r="Y57" s="22">
        <v>4.1879999999999997</v>
      </c>
      <c r="Z57" s="22">
        <v>4.2809999999999997</v>
      </c>
      <c r="AA57" s="23">
        <f t="shared" si="75"/>
        <v>4.2809999999999997</v>
      </c>
      <c r="AB57" s="22">
        <v>4.875</v>
      </c>
      <c r="AC57" s="22">
        <v>4.9409999999999998</v>
      </c>
      <c r="AD57" s="22">
        <v>9.8640000000000008</v>
      </c>
      <c r="AE57" s="22">
        <v>6.0570000000000004</v>
      </c>
      <c r="AF57" s="23">
        <f t="shared" si="76"/>
        <v>6.0570000000000004</v>
      </c>
      <c r="AG57" s="22">
        <v>6.6120000000000001</v>
      </c>
      <c r="AH57" s="31">
        <f>AG57</f>
        <v>6.6120000000000001</v>
      </c>
      <c r="AI57" s="31">
        <f t="shared" ref="AI57:AJ63" si="87">AH57</f>
        <v>6.6120000000000001</v>
      </c>
      <c r="AJ57" s="31">
        <f t="shared" si="87"/>
        <v>6.6120000000000001</v>
      </c>
      <c r="AK57" s="23">
        <f t="shared" si="77"/>
        <v>6.6120000000000001</v>
      </c>
      <c r="AL57" s="32">
        <f>AK57</f>
        <v>6.6120000000000001</v>
      </c>
      <c r="AM57" s="32">
        <f>AL57</f>
        <v>6.6120000000000001</v>
      </c>
      <c r="AN57" s="32">
        <f t="shared" ref="AN57:AT57" si="88">AM57</f>
        <v>6.6120000000000001</v>
      </c>
      <c r="AO57" s="32">
        <f t="shared" si="88"/>
        <v>6.6120000000000001</v>
      </c>
      <c r="AP57" s="32">
        <f t="shared" si="88"/>
        <v>6.6120000000000001</v>
      </c>
      <c r="AQ57" s="32">
        <f t="shared" si="88"/>
        <v>6.6120000000000001</v>
      </c>
      <c r="AR57" s="32">
        <f t="shared" si="88"/>
        <v>6.6120000000000001</v>
      </c>
      <c r="AS57" s="32">
        <f t="shared" si="88"/>
        <v>6.6120000000000001</v>
      </c>
      <c r="AT57" s="32">
        <f t="shared" si="88"/>
        <v>6.6120000000000001</v>
      </c>
      <c r="AU57" s="8" t="s">
        <v>29</v>
      </c>
    </row>
    <row r="58" spans="1:47" ht="16.2" customHeight="1" x14ac:dyDescent="0.3">
      <c r="B58" s="24" t="s">
        <v>65</v>
      </c>
      <c r="C58" s="22">
        <v>4.391</v>
      </c>
      <c r="D58" s="22">
        <v>4.4119999999999999</v>
      </c>
      <c r="E58" s="22">
        <v>5.6920000000000002</v>
      </c>
      <c r="F58" s="22">
        <v>1.623</v>
      </c>
      <c r="G58" s="23">
        <f t="shared" si="71"/>
        <v>1.623</v>
      </c>
      <c r="H58" s="22">
        <v>3.1680000000000001</v>
      </c>
      <c r="I58" s="22">
        <v>1.972</v>
      </c>
      <c r="J58" s="22">
        <v>3.38</v>
      </c>
      <c r="K58" s="22">
        <v>3.0369999999999999</v>
      </c>
      <c r="L58" s="23">
        <f t="shared" si="72"/>
        <v>3.0369999999999999</v>
      </c>
      <c r="M58" s="22">
        <v>3.7210000000000001</v>
      </c>
      <c r="N58" s="22">
        <v>3.6</v>
      </c>
      <c r="O58" s="22">
        <v>4.3819999999999997</v>
      </c>
      <c r="P58" s="22">
        <v>5.1310000000000002</v>
      </c>
      <c r="Q58" s="23">
        <f t="shared" si="73"/>
        <v>5.1310000000000002</v>
      </c>
      <c r="R58" s="22">
        <v>6.0720000000000001</v>
      </c>
      <c r="S58" s="22">
        <v>8.641</v>
      </c>
      <c r="T58" s="22">
        <v>8.1280000000000001</v>
      </c>
      <c r="U58" s="22">
        <v>8.5</v>
      </c>
      <c r="V58" s="23">
        <f t="shared" si="74"/>
        <v>8.5</v>
      </c>
      <c r="W58" s="22">
        <v>12.624000000000001</v>
      </c>
      <c r="X58" s="22">
        <v>15.316000000000001</v>
      </c>
      <c r="Y58" s="22">
        <v>16.329000000000001</v>
      </c>
      <c r="Z58" s="22">
        <v>9.77</v>
      </c>
      <c r="AA58" s="23">
        <f t="shared" si="75"/>
        <v>9.77</v>
      </c>
      <c r="AB58" s="22">
        <v>14.723000000000001</v>
      </c>
      <c r="AC58" s="22">
        <v>20.145</v>
      </c>
      <c r="AD58" s="22">
        <v>21.234999999999999</v>
      </c>
      <c r="AE58" s="22">
        <v>16.295999999999999</v>
      </c>
      <c r="AF58" s="23">
        <f t="shared" si="76"/>
        <v>16.295999999999999</v>
      </c>
      <c r="AG58" s="22">
        <v>21.053999999999998</v>
      </c>
      <c r="AH58" s="31">
        <f>AG58</f>
        <v>21.053999999999998</v>
      </c>
      <c r="AI58" s="31">
        <f t="shared" si="87"/>
        <v>21.053999999999998</v>
      </c>
      <c r="AJ58" s="31">
        <f t="shared" si="87"/>
        <v>21.053999999999998</v>
      </c>
      <c r="AK58" s="23">
        <f t="shared" si="77"/>
        <v>21.053999999999998</v>
      </c>
      <c r="AL58" s="32">
        <f>AK58</f>
        <v>21.053999999999998</v>
      </c>
      <c r="AM58" s="32">
        <f>AL58</f>
        <v>21.053999999999998</v>
      </c>
      <c r="AN58" s="32">
        <f t="shared" ref="AN58:AT58" si="89">AM58</f>
        <v>21.053999999999998</v>
      </c>
      <c r="AO58" s="32">
        <f t="shared" si="89"/>
        <v>21.053999999999998</v>
      </c>
      <c r="AP58" s="32">
        <f t="shared" si="89"/>
        <v>21.053999999999998</v>
      </c>
      <c r="AQ58" s="32">
        <f t="shared" si="89"/>
        <v>21.053999999999998</v>
      </c>
      <c r="AR58" s="32">
        <f t="shared" si="89"/>
        <v>21.053999999999998</v>
      </c>
      <c r="AS58" s="32">
        <f t="shared" si="89"/>
        <v>21.053999999999998</v>
      </c>
      <c r="AT58" s="32">
        <f t="shared" si="89"/>
        <v>21.053999999999998</v>
      </c>
      <c r="AU58" s="8" t="s">
        <v>29</v>
      </c>
    </row>
    <row r="59" spans="1:47" ht="16.2" customHeight="1" x14ac:dyDescent="0.3">
      <c r="B59" s="30" t="s">
        <v>66</v>
      </c>
      <c r="C59" s="28">
        <f t="shared" ref="C59:AJ59" si="90">SUM(C60:C66)</f>
        <v>88.388000000000005</v>
      </c>
      <c r="D59" s="28">
        <f t="shared" si="90"/>
        <v>89.708999999999989</v>
      </c>
      <c r="E59" s="28">
        <f t="shared" si="90"/>
        <v>88.100000000000009</v>
      </c>
      <c r="F59" s="28">
        <f t="shared" si="90"/>
        <v>75.741</v>
      </c>
      <c r="G59" s="29">
        <f t="shared" si="71"/>
        <v>75.741</v>
      </c>
      <c r="H59" s="28">
        <f t="shared" si="90"/>
        <v>91.677000000000007</v>
      </c>
      <c r="I59" s="28">
        <f t="shared" si="90"/>
        <v>96.921999999999997</v>
      </c>
      <c r="J59" s="28">
        <f t="shared" si="90"/>
        <v>94.705000000000013</v>
      </c>
      <c r="K59" s="28">
        <f t="shared" si="90"/>
        <v>107.875</v>
      </c>
      <c r="L59" s="29">
        <f t="shared" si="72"/>
        <v>107.875</v>
      </c>
      <c r="M59" s="28">
        <f t="shared" si="90"/>
        <v>115.05200000000001</v>
      </c>
      <c r="N59" s="28">
        <f t="shared" si="90"/>
        <v>127.34400000000001</v>
      </c>
      <c r="O59" s="28">
        <f t="shared" si="90"/>
        <v>142.52100000000002</v>
      </c>
      <c r="P59" s="28">
        <f t="shared" si="90"/>
        <v>152.066</v>
      </c>
      <c r="Q59" s="29">
        <f t="shared" si="73"/>
        <v>152.066</v>
      </c>
      <c r="R59" s="28">
        <f t="shared" si="90"/>
        <v>157.47099999999998</v>
      </c>
      <c r="S59" s="28">
        <f t="shared" si="90"/>
        <v>168.54499999999999</v>
      </c>
      <c r="T59" s="28">
        <f t="shared" si="90"/>
        <v>179.69299999999998</v>
      </c>
      <c r="U59" s="28">
        <f t="shared" si="90"/>
        <v>179.39700000000002</v>
      </c>
      <c r="V59" s="29">
        <f t="shared" si="74"/>
        <v>179.39700000000002</v>
      </c>
      <c r="W59" s="28">
        <f t="shared" si="90"/>
        <v>188.31800000000001</v>
      </c>
      <c r="X59" s="28">
        <f t="shared" si="90"/>
        <v>206.245</v>
      </c>
      <c r="Y59" s="28">
        <f t="shared" si="90"/>
        <v>216.85300000000001</v>
      </c>
      <c r="Z59" s="28">
        <f t="shared" si="90"/>
        <v>256.64499999999998</v>
      </c>
      <c r="AA59" s="29">
        <f t="shared" si="75"/>
        <v>256.64499999999998</v>
      </c>
      <c r="AB59" s="28">
        <f t="shared" si="90"/>
        <v>257.13599999999997</v>
      </c>
      <c r="AC59" s="28">
        <f t="shared" si="90"/>
        <v>260.11900000000003</v>
      </c>
      <c r="AD59" s="28">
        <f t="shared" si="90"/>
        <v>288.702</v>
      </c>
      <c r="AE59" s="28">
        <f t="shared" si="90"/>
        <v>293.03999999999996</v>
      </c>
      <c r="AF59" s="29">
        <f t="shared" si="76"/>
        <v>293.03999999999996</v>
      </c>
      <c r="AG59" s="28">
        <f t="shared" si="90"/>
        <v>306.16800000000006</v>
      </c>
      <c r="AH59" s="28">
        <f t="shared" ca="1" si="90"/>
        <v>313.25267610766599</v>
      </c>
      <c r="AI59" s="28">
        <f t="shared" ca="1" si="90"/>
        <v>335.58063047237908</v>
      </c>
      <c r="AJ59" s="28">
        <f t="shared" ca="1" si="90"/>
        <v>351.01570450685659</v>
      </c>
      <c r="AK59" s="29">
        <f t="shared" ca="1" si="77"/>
        <v>351.01570450685659</v>
      </c>
      <c r="AL59" s="29">
        <f ca="1">SUM(AL60:AL66)</f>
        <v>412.06442234956091</v>
      </c>
      <c r="AM59" s="29">
        <f ca="1">SUM(AM60:AM66)</f>
        <v>477.04259528551933</v>
      </c>
      <c r="AN59" s="29">
        <f t="shared" ref="AN59:AT59" ca="1" si="91">SUM(AN60:AN66)</f>
        <v>546.4098409481129</v>
      </c>
      <c r="AO59" s="29">
        <f t="shared" ca="1" si="91"/>
        <v>620.61545052001418</v>
      </c>
      <c r="AP59" s="29">
        <f t="shared" ca="1" si="91"/>
        <v>700.10617010602027</v>
      </c>
      <c r="AQ59" s="29">
        <f t="shared" ca="1" si="91"/>
        <v>785.33245069818111</v>
      </c>
      <c r="AR59" s="29">
        <f t="shared" ca="1" si="91"/>
        <v>876.75358092308147</v>
      </c>
      <c r="AS59" s="29">
        <f t="shared" ca="1" si="91"/>
        <v>974.84200554920881</v>
      </c>
      <c r="AT59" s="29">
        <f t="shared" ca="1" si="91"/>
        <v>1080.0870529209519</v>
      </c>
      <c r="AU59" s="8" t="s">
        <v>29</v>
      </c>
    </row>
    <row r="60" spans="1:47" ht="16.2" customHeight="1" x14ac:dyDescent="0.3">
      <c r="B60" s="24" t="s">
        <v>67</v>
      </c>
      <c r="C60" s="22">
        <v>11.378</v>
      </c>
      <c r="D60" s="22">
        <v>11.638</v>
      </c>
      <c r="E60" s="22">
        <v>11.894</v>
      </c>
      <c r="F60" s="22">
        <v>1.103</v>
      </c>
      <c r="G60" s="23">
        <f t="shared" si="71"/>
        <v>1.103</v>
      </c>
      <c r="H60" s="22">
        <v>0.94599999999999995</v>
      </c>
      <c r="I60" s="22">
        <v>0.94199999999999995</v>
      </c>
      <c r="J60" s="22">
        <v>0.94699999999999995</v>
      </c>
      <c r="K60" s="22">
        <v>1.274</v>
      </c>
      <c r="L60" s="23">
        <f t="shared" si="72"/>
        <v>1.274</v>
      </c>
      <c r="M60" s="22">
        <v>0.67600000000000005</v>
      </c>
      <c r="N60" s="22">
        <v>0.69399999999999995</v>
      </c>
      <c r="O60" s="22">
        <v>0.4</v>
      </c>
      <c r="P60" s="22">
        <v>0.41</v>
      </c>
      <c r="Q60" s="23">
        <f t="shared" si="73"/>
        <v>0.41</v>
      </c>
      <c r="R60" s="22">
        <v>0.51200000000000001</v>
      </c>
      <c r="S60" s="22">
        <v>0.46700000000000003</v>
      </c>
      <c r="T60" s="22">
        <v>0.47399999999999998</v>
      </c>
      <c r="U60" s="22">
        <v>0.44500000000000001</v>
      </c>
      <c r="V60" s="23">
        <f t="shared" si="74"/>
        <v>0.44500000000000001</v>
      </c>
      <c r="W60" s="22">
        <v>0.62</v>
      </c>
      <c r="X60" s="22">
        <v>2.5710000000000002</v>
      </c>
      <c r="Y60" s="22">
        <v>2.863</v>
      </c>
      <c r="Z60" s="22">
        <v>2.9990000000000001</v>
      </c>
      <c r="AA60" s="23">
        <f t="shared" si="75"/>
        <v>2.9990000000000001</v>
      </c>
      <c r="AB60" s="22">
        <v>3.0920000000000001</v>
      </c>
      <c r="AC60" s="22">
        <v>3.2050000000000001</v>
      </c>
      <c r="AD60" s="22">
        <v>3.258</v>
      </c>
      <c r="AE60" s="22">
        <v>3.37</v>
      </c>
      <c r="AF60" s="23">
        <f t="shared" si="76"/>
        <v>3.37</v>
      </c>
      <c r="AG60" s="22">
        <v>3.4860000000000002</v>
      </c>
      <c r="AH60" s="31">
        <f>AG60</f>
        <v>3.4860000000000002</v>
      </c>
      <c r="AI60" s="31">
        <f t="shared" si="87"/>
        <v>3.4860000000000002</v>
      </c>
      <c r="AJ60" s="31">
        <f t="shared" si="87"/>
        <v>3.4860000000000002</v>
      </c>
      <c r="AK60" s="23">
        <f t="shared" si="77"/>
        <v>3.4860000000000002</v>
      </c>
      <c r="AL60" s="32">
        <f t="shared" ref="AL60:AM63" si="92">AK60</f>
        <v>3.4860000000000002</v>
      </c>
      <c r="AM60" s="32">
        <f t="shared" si="92"/>
        <v>3.4860000000000002</v>
      </c>
      <c r="AN60" s="32">
        <f t="shared" ref="AN60:AT60" si="93">AM60</f>
        <v>3.4860000000000002</v>
      </c>
      <c r="AO60" s="32">
        <f t="shared" si="93"/>
        <v>3.4860000000000002</v>
      </c>
      <c r="AP60" s="32">
        <f t="shared" si="93"/>
        <v>3.4860000000000002</v>
      </c>
      <c r="AQ60" s="32">
        <f t="shared" si="93"/>
        <v>3.4860000000000002</v>
      </c>
      <c r="AR60" s="32">
        <f t="shared" si="93"/>
        <v>3.4860000000000002</v>
      </c>
      <c r="AS60" s="32">
        <f t="shared" si="93"/>
        <v>3.4860000000000002</v>
      </c>
      <c r="AT60" s="32">
        <f t="shared" si="93"/>
        <v>3.4860000000000002</v>
      </c>
      <c r="AU60" s="8" t="s">
        <v>29</v>
      </c>
    </row>
    <row r="61" spans="1:47" ht="16.2" customHeight="1" x14ac:dyDescent="0.3">
      <c r="B61" s="24" t="s">
        <v>68</v>
      </c>
      <c r="C61" s="22">
        <v>0</v>
      </c>
      <c r="D61" s="22">
        <v>0</v>
      </c>
      <c r="E61" s="22">
        <v>0</v>
      </c>
      <c r="F61" s="22">
        <v>0</v>
      </c>
      <c r="G61" s="23">
        <f t="shared" si="71"/>
        <v>0</v>
      </c>
      <c r="H61" s="22">
        <v>0</v>
      </c>
      <c r="I61" s="22">
        <v>0</v>
      </c>
      <c r="J61" s="22">
        <v>0</v>
      </c>
      <c r="K61" s="22">
        <v>0</v>
      </c>
      <c r="L61" s="23">
        <f t="shared" si="72"/>
        <v>0</v>
      </c>
      <c r="M61" s="22">
        <v>0</v>
      </c>
      <c r="N61" s="22">
        <v>0</v>
      </c>
      <c r="O61" s="22">
        <v>0</v>
      </c>
      <c r="P61" s="22">
        <v>0</v>
      </c>
      <c r="Q61" s="23">
        <f t="shared" si="73"/>
        <v>0</v>
      </c>
      <c r="R61" s="22">
        <v>0</v>
      </c>
      <c r="S61" s="22">
        <v>0</v>
      </c>
      <c r="T61" s="22">
        <v>0</v>
      </c>
      <c r="U61" s="22">
        <v>0</v>
      </c>
      <c r="V61" s="23">
        <f t="shared" si="74"/>
        <v>0</v>
      </c>
      <c r="W61" s="22">
        <v>0</v>
      </c>
      <c r="X61" s="22">
        <v>0</v>
      </c>
      <c r="Y61" s="22">
        <v>0</v>
      </c>
      <c r="Z61" s="22">
        <v>0</v>
      </c>
      <c r="AA61" s="23">
        <f t="shared" si="75"/>
        <v>0</v>
      </c>
      <c r="AB61" s="22">
        <v>0</v>
      </c>
      <c r="AC61" s="22">
        <v>0</v>
      </c>
      <c r="AD61" s="22">
        <v>0</v>
      </c>
      <c r="AE61" s="22">
        <v>0</v>
      </c>
      <c r="AF61" s="23">
        <f t="shared" si="76"/>
        <v>0</v>
      </c>
      <c r="AG61" s="22">
        <v>0</v>
      </c>
      <c r="AH61" s="31">
        <f>AG61</f>
        <v>0</v>
      </c>
      <c r="AI61" s="31">
        <f t="shared" si="87"/>
        <v>0</v>
      </c>
      <c r="AJ61" s="31">
        <f t="shared" si="87"/>
        <v>0</v>
      </c>
      <c r="AK61" s="23">
        <f t="shared" si="77"/>
        <v>0</v>
      </c>
      <c r="AL61" s="32">
        <f t="shared" si="92"/>
        <v>0</v>
      </c>
      <c r="AM61" s="32">
        <f t="shared" si="92"/>
        <v>0</v>
      </c>
      <c r="AN61" s="32">
        <f t="shared" ref="AN61:AT61" si="94">AM61</f>
        <v>0</v>
      </c>
      <c r="AO61" s="32">
        <f t="shared" si="94"/>
        <v>0</v>
      </c>
      <c r="AP61" s="32">
        <f t="shared" si="94"/>
        <v>0</v>
      </c>
      <c r="AQ61" s="32">
        <f t="shared" si="94"/>
        <v>0</v>
      </c>
      <c r="AR61" s="32">
        <f t="shared" si="94"/>
        <v>0</v>
      </c>
      <c r="AS61" s="32">
        <f t="shared" si="94"/>
        <v>0</v>
      </c>
      <c r="AT61" s="32">
        <f t="shared" si="94"/>
        <v>0</v>
      </c>
      <c r="AU61" s="8" t="s">
        <v>29</v>
      </c>
    </row>
    <row r="62" spans="1:47" ht="16.2" customHeight="1" x14ac:dyDescent="0.3">
      <c r="B62" s="24" t="s">
        <v>69</v>
      </c>
      <c r="C62" s="22">
        <v>4.4989999999999997</v>
      </c>
      <c r="D62" s="22">
        <v>6.6619999999999999</v>
      </c>
      <c r="E62" s="22">
        <v>5.6420000000000003</v>
      </c>
      <c r="F62" s="22">
        <v>4.1790000000000003</v>
      </c>
      <c r="G62" s="23">
        <f t="shared" si="71"/>
        <v>4.1790000000000003</v>
      </c>
      <c r="H62" s="22">
        <v>4.4800000000000004</v>
      </c>
      <c r="I62" s="22">
        <v>4.3840000000000003</v>
      </c>
      <c r="J62" s="22">
        <v>4.3879999999999999</v>
      </c>
      <c r="K62" s="22">
        <v>7.2770000000000001</v>
      </c>
      <c r="L62" s="23">
        <f t="shared" si="72"/>
        <v>7.2770000000000001</v>
      </c>
      <c r="M62" s="22">
        <v>6.8259999999999996</v>
      </c>
      <c r="N62" s="22">
        <v>6.5940000000000003</v>
      </c>
      <c r="O62" s="22">
        <v>8.5939999999999994</v>
      </c>
      <c r="P62" s="22">
        <v>8.4220000000000006</v>
      </c>
      <c r="Q62" s="23">
        <f t="shared" si="73"/>
        <v>8.4220000000000006</v>
      </c>
      <c r="R62" s="22">
        <v>8.3539999999999992</v>
      </c>
      <c r="S62" s="22">
        <v>8.1630000000000003</v>
      </c>
      <c r="T62" s="22">
        <v>7.883</v>
      </c>
      <c r="U62" s="22">
        <v>6.4</v>
      </c>
      <c r="V62" s="23">
        <f t="shared" si="74"/>
        <v>6.4</v>
      </c>
      <c r="W62" s="22">
        <v>6.1779999999999999</v>
      </c>
      <c r="X62" s="22">
        <v>5.9109999999999996</v>
      </c>
      <c r="Y62" s="22">
        <v>5.3540000000000001</v>
      </c>
      <c r="Z62" s="22">
        <v>4.3979999999999997</v>
      </c>
      <c r="AA62" s="23">
        <f t="shared" si="75"/>
        <v>4.3979999999999997</v>
      </c>
      <c r="AB62" s="22">
        <v>4.8730000000000002</v>
      </c>
      <c r="AC62" s="22">
        <v>5.0199999999999996</v>
      </c>
      <c r="AD62" s="22">
        <v>5.5190000000000001</v>
      </c>
      <c r="AE62" s="22">
        <v>5.7880000000000003</v>
      </c>
      <c r="AF62" s="23">
        <f t="shared" si="76"/>
        <v>5.7880000000000003</v>
      </c>
      <c r="AG62" s="22">
        <v>6.2140000000000004</v>
      </c>
      <c r="AH62" s="31">
        <f>AG62</f>
        <v>6.2140000000000004</v>
      </c>
      <c r="AI62" s="31">
        <f t="shared" si="87"/>
        <v>6.2140000000000004</v>
      </c>
      <c r="AJ62" s="31">
        <f t="shared" si="87"/>
        <v>6.2140000000000004</v>
      </c>
      <c r="AK62" s="23">
        <f t="shared" si="77"/>
        <v>6.2140000000000004</v>
      </c>
      <c r="AL62" s="32">
        <f t="shared" si="92"/>
        <v>6.2140000000000004</v>
      </c>
      <c r="AM62" s="32">
        <f t="shared" si="92"/>
        <v>6.2140000000000004</v>
      </c>
      <c r="AN62" s="32">
        <f t="shared" ref="AN62:AT62" si="95">AM62</f>
        <v>6.2140000000000004</v>
      </c>
      <c r="AO62" s="32">
        <f t="shared" si="95"/>
        <v>6.2140000000000004</v>
      </c>
      <c r="AP62" s="32">
        <f t="shared" si="95"/>
        <v>6.2140000000000004</v>
      </c>
      <c r="AQ62" s="32">
        <f t="shared" si="95"/>
        <v>6.2140000000000004</v>
      </c>
      <c r="AR62" s="32">
        <f t="shared" si="95"/>
        <v>6.2140000000000004</v>
      </c>
      <c r="AS62" s="32">
        <f t="shared" si="95"/>
        <v>6.2140000000000004</v>
      </c>
      <c r="AT62" s="32">
        <f t="shared" si="95"/>
        <v>6.2140000000000004</v>
      </c>
      <c r="AU62" s="8" t="s">
        <v>29</v>
      </c>
    </row>
    <row r="63" spans="1:47" ht="16.2" customHeight="1" x14ac:dyDescent="0.3">
      <c r="B63" s="24" t="s">
        <v>64</v>
      </c>
      <c r="C63" s="22">
        <v>16.091000000000001</v>
      </c>
      <c r="D63" s="22">
        <v>17.754999999999999</v>
      </c>
      <c r="E63" s="22">
        <v>17.809000000000001</v>
      </c>
      <c r="F63" s="22">
        <v>12.811999999999999</v>
      </c>
      <c r="G63" s="23">
        <f t="shared" si="71"/>
        <v>12.811999999999999</v>
      </c>
      <c r="H63" s="22">
        <v>6.6779999999999999</v>
      </c>
      <c r="I63" s="22">
        <v>6.1219999999999999</v>
      </c>
      <c r="J63" s="22">
        <v>0.374</v>
      </c>
      <c r="K63" s="22">
        <v>4.2249999999999996</v>
      </c>
      <c r="L63" s="23">
        <f t="shared" si="72"/>
        <v>4.2249999999999996</v>
      </c>
      <c r="M63" s="22">
        <v>4.4550000000000001</v>
      </c>
      <c r="N63" s="22">
        <v>6.3730000000000002</v>
      </c>
      <c r="O63" s="22">
        <v>7.8540000000000001</v>
      </c>
      <c r="P63" s="22">
        <v>7.8330000000000002</v>
      </c>
      <c r="Q63" s="23">
        <f t="shared" si="73"/>
        <v>7.8330000000000002</v>
      </c>
      <c r="R63" s="22">
        <v>9.4260000000000002</v>
      </c>
      <c r="S63" s="22">
        <v>8.8469999999999995</v>
      </c>
      <c r="T63" s="22">
        <v>10.79</v>
      </c>
      <c r="U63" s="22">
        <v>5.2560000000000002</v>
      </c>
      <c r="V63" s="23">
        <f t="shared" si="74"/>
        <v>5.2560000000000002</v>
      </c>
      <c r="W63" s="22">
        <v>5.2</v>
      </c>
      <c r="X63" s="22">
        <v>3.988</v>
      </c>
      <c r="Y63" s="22">
        <v>4.4009999999999998</v>
      </c>
      <c r="Z63" s="22">
        <v>5.0140000000000002</v>
      </c>
      <c r="AA63" s="23">
        <f t="shared" si="75"/>
        <v>5.0140000000000002</v>
      </c>
      <c r="AB63" s="22">
        <v>5.2229999999999999</v>
      </c>
      <c r="AC63" s="22">
        <v>3.2869999999999999</v>
      </c>
      <c r="AD63" s="22">
        <v>3.0649999999999999</v>
      </c>
      <c r="AE63" s="22">
        <v>3.3340000000000001</v>
      </c>
      <c r="AF63" s="23">
        <f t="shared" si="76"/>
        <v>3.3340000000000001</v>
      </c>
      <c r="AG63" s="22">
        <v>2.9220000000000002</v>
      </c>
      <c r="AH63" s="31">
        <f>AG63</f>
        <v>2.9220000000000002</v>
      </c>
      <c r="AI63" s="31">
        <f t="shared" si="87"/>
        <v>2.9220000000000002</v>
      </c>
      <c r="AJ63" s="31">
        <f t="shared" si="87"/>
        <v>2.9220000000000002</v>
      </c>
      <c r="AK63" s="23">
        <f t="shared" si="77"/>
        <v>2.9220000000000002</v>
      </c>
      <c r="AL63" s="32">
        <f t="shared" si="92"/>
        <v>2.9220000000000002</v>
      </c>
      <c r="AM63" s="32">
        <f t="shared" si="92"/>
        <v>2.9220000000000002</v>
      </c>
      <c r="AN63" s="32">
        <f t="shared" ref="AN63:AT63" si="96">AM63</f>
        <v>2.9220000000000002</v>
      </c>
      <c r="AO63" s="32">
        <f t="shared" si="96"/>
        <v>2.9220000000000002</v>
      </c>
      <c r="AP63" s="32">
        <f t="shared" si="96"/>
        <v>2.9220000000000002</v>
      </c>
      <c r="AQ63" s="32">
        <f t="shared" si="96"/>
        <v>2.9220000000000002</v>
      </c>
      <c r="AR63" s="32">
        <f t="shared" si="96"/>
        <v>2.9220000000000002</v>
      </c>
      <c r="AS63" s="32">
        <f t="shared" si="96"/>
        <v>2.9220000000000002</v>
      </c>
      <c r="AT63" s="32">
        <f t="shared" si="96"/>
        <v>2.9220000000000002</v>
      </c>
      <c r="AU63" s="8" t="s">
        <v>29</v>
      </c>
    </row>
    <row r="64" spans="1:47" ht="16.2" customHeight="1" x14ac:dyDescent="0.3">
      <c r="B64" s="24" t="s">
        <v>70</v>
      </c>
      <c r="C64" s="22">
        <v>44.853000000000002</v>
      </c>
      <c r="D64" s="22">
        <v>42.848999999999997</v>
      </c>
      <c r="E64" s="22">
        <v>42.325000000000003</v>
      </c>
      <c r="F64" s="22">
        <v>46.948</v>
      </c>
      <c r="G64" s="23">
        <f t="shared" si="71"/>
        <v>46.948</v>
      </c>
      <c r="H64" s="22">
        <v>67.183000000000007</v>
      </c>
      <c r="I64" s="22">
        <v>69.616</v>
      </c>
      <c r="J64" s="22">
        <v>71.162000000000006</v>
      </c>
      <c r="K64" s="22">
        <v>73.89</v>
      </c>
      <c r="L64" s="23">
        <f t="shared" si="72"/>
        <v>73.89</v>
      </c>
      <c r="M64" s="22">
        <v>78.174999999999997</v>
      </c>
      <c r="N64" s="22">
        <v>77.881</v>
      </c>
      <c r="O64" s="22">
        <v>81.370999999999995</v>
      </c>
      <c r="P64" s="22">
        <v>84.322000000000003</v>
      </c>
      <c r="Q64" s="23">
        <f t="shared" si="73"/>
        <v>84.322000000000003</v>
      </c>
      <c r="R64" s="22">
        <v>83.346999999999994</v>
      </c>
      <c r="S64" s="22">
        <v>90.227999999999994</v>
      </c>
      <c r="T64" s="22">
        <v>92.236999999999995</v>
      </c>
      <c r="U64" s="22">
        <v>93.983000000000004</v>
      </c>
      <c r="V64" s="23">
        <f t="shared" si="74"/>
        <v>93.983000000000004</v>
      </c>
      <c r="W64" s="22">
        <v>95.634</v>
      </c>
      <c r="X64" s="22">
        <v>107.056</v>
      </c>
      <c r="Y64" s="22">
        <v>109.569</v>
      </c>
      <c r="Z64" s="22">
        <v>142.77099999999999</v>
      </c>
      <c r="AA64" s="23">
        <f t="shared" si="75"/>
        <v>142.77099999999999</v>
      </c>
      <c r="AB64" s="22">
        <v>137.636</v>
      </c>
      <c r="AC64" s="22">
        <v>136.77199999999999</v>
      </c>
      <c r="AD64" s="22">
        <v>160.678</v>
      </c>
      <c r="AE64" s="22">
        <v>162.35300000000001</v>
      </c>
      <c r="AF64" s="23">
        <f t="shared" si="76"/>
        <v>162.35300000000001</v>
      </c>
      <c r="AG64" s="22">
        <v>169.08600000000001</v>
      </c>
      <c r="AH64" s="22">
        <f>AH346</f>
        <v>169.08600000000001</v>
      </c>
      <c r="AI64" s="22">
        <f>AI346</f>
        <v>184.04934545454546</v>
      </c>
      <c r="AJ64" s="22">
        <f t="shared" ref="AJ64" si="97">AJ346</f>
        <v>188.73536250000001</v>
      </c>
      <c r="AK64" s="23">
        <f t="shared" si="77"/>
        <v>188.73536250000001</v>
      </c>
      <c r="AL64" s="23">
        <f>AL346</f>
        <v>217.35007875000002</v>
      </c>
      <c r="AM64" s="23">
        <f>AM346</f>
        <v>248.35442821875003</v>
      </c>
      <c r="AN64" s="23">
        <f t="shared" ref="AN64:AT64" si="98">AN346</f>
        <v>281.91583743750004</v>
      </c>
      <c r="AO64" s="23">
        <f t="shared" si="98"/>
        <v>318.21250150757817</v>
      </c>
      <c r="AP64" s="23">
        <f t="shared" si="98"/>
        <v>357.43404239107036</v>
      </c>
      <c r="AQ64" s="23">
        <f t="shared" si="98"/>
        <v>399.78220610914286</v>
      </c>
      <c r="AR64" s="23">
        <f t="shared" si="98"/>
        <v>445.47160109304485</v>
      </c>
      <c r="AS64" s="23">
        <f t="shared" si="98"/>
        <v>494.73048006006428</v>
      </c>
      <c r="AT64" s="23">
        <f t="shared" si="98"/>
        <v>547.80156792105299</v>
      </c>
      <c r="AU64" s="8" t="s">
        <v>29</v>
      </c>
    </row>
    <row r="65" spans="2:47" ht="16.2" customHeight="1" x14ac:dyDescent="0.3">
      <c r="B65" s="24" t="s">
        <v>71</v>
      </c>
      <c r="C65" s="22">
        <v>9.81</v>
      </c>
      <c r="D65" s="22">
        <v>9.19</v>
      </c>
      <c r="E65" s="22">
        <v>8.9559999999999995</v>
      </c>
      <c r="F65" s="22">
        <v>9.2478000000000034</v>
      </c>
      <c r="G65" s="23">
        <f t="shared" si="71"/>
        <v>9.2478000000000034</v>
      </c>
      <c r="H65" s="22">
        <v>10.589</v>
      </c>
      <c r="I65" s="22">
        <v>13.346</v>
      </c>
      <c r="J65" s="22">
        <v>14.095000000000001</v>
      </c>
      <c r="K65" s="22">
        <v>16.234000000000002</v>
      </c>
      <c r="L65" s="23">
        <f t="shared" si="72"/>
        <v>16.234000000000002</v>
      </c>
      <c r="M65" s="22">
        <v>18.957999999999998</v>
      </c>
      <c r="N65" s="22">
        <v>28.922999999999998</v>
      </c>
      <c r="O65" s="22">
        <v>34.936</v>
      </c>
      <c r="P65" s="22">
        <v>40.131</v>
      </c>
      <c r="Q65" s="23">
        <f t="shared" si="73"/>
        <v>40.131</v>
      </c>
      <c r="R65" s="22">
        <v>42.780999999999999</v>
      </c>
      <c r="S65" s="22">
        <v>46.188000000000002</v>
      </c>
      <c r="T65" s="22">
        <v>48.481000000000002</v>
      </c>
      <c r="U65" s="22">
        <v>52.627000000000002</v>
      </c>
      <c r="V65" s="23">
        <f t="shared" si="74"/>
        <v>52.627000000000002</v>
      </c>
      <c r="W65" s="22">
        <v>56.290999999999997</v>
      </c>
      <c r="X65" s="22">
        <v>62.216999999999999</v>
      </c>
      <c r="Y65" s="22">
        <v>68.710999999999999</v>
      </c>
      <c r="Z65" s="22">
        <v>76.442999999999998</v>
      </c>
      <c r="AA65" s="23">
        <f t="shared" si="75"/>
        <v>76.442999999999998</v>
      </c>
      <c r="AB65" s="22">
        <v>80.052999999999997</v>
      </c>
      <c r="AC65" s="22">
        <v>83.287999999999997</v>
      </c>
      <c r="AD65" s="22">
        <v>85.789000000000001</v>
      </c>
      <c r="AE65" s="22">
        <v>93.733000000000004</v>
      </c>
      <c r="AF65" s="23">
        <f t="shared" si="76"/>
        <v>93.733000000000004</v>
      </c>
      <c r="AG65" s="22">
        <v>97.552000000000007</v>
      </c>
      <c r="AH65" s="33">
        <f ca="1">AH421</f>
        <v>103.91475785435598</v>
      </c>
      <c r="AI65" s="33">
        <f t="shared" ref="AI65:AJ65" ca="1" si="99">AI421</f>
        <v>110.46247357135424</v>
      </c>
      <c r="AJ65" s="33">
        <f t="shared" ca="1" si="99"/>
        <v>119.52840584357151</v>
      </c>
      <c r="AK65" s="34">
        <f t="shared" ca="1" si="77"/>
        <v>119.52840584357151</v>
      </c>
      <c r="AL65" s="34">
        <f ca="1">AL421</f>
        <v>146.15951644577012</v>
      </c>
      <c r="AM65" s="34">
        <f ca="1">AM421</f>
        <v>174.032112882169</v>
      </c>
      <c r="AN65" s="34">
        <f t="shared" ref="AN65:AT65" ca="1" si="100">AN421</f>
        <v>203.37085933675777</v>
      </c>
      <c r="AO65" s="34">
        <f t="shared" ca="1" si="100"/>
        <v>234.38953217906788</v>
      </c>
      <c r="AP65" s="34">
        <f t="shared" ca="1" si="100"/>
        <v>267.29449942123989</v>
      </c>
      <c r="AQ65" s="34">
        <f t="shared" ca="1" si="100"/>
        <v>302.28768996176638</v>
      </c>
      <c r="AR65" s="34">
        <f t="shared" ca="1" si="100"/>
        <v>339.56914506262075</v>
      </c>
      <c r="AS65" s="34">
        <f t="shared" ca="1" si="100"/>
        <v>379.33922885273574</v>
      </c>
      <c r="AT65" s="34">
        <f t="shared" ca="1" si="100"/>
        <v>421.80056170229579</v>
      </c>
      <c r="AU65" s="8" t="s">
        <v>29</v>
      </c>
    </row>
    <row r="66" spans="2:47" ht="16.2" customHeight="1" x14ac:dyDescent="0.3">
      <c r="B66" s="24" t="s">
        <v>72</v>
      </c>
      <c r="C66" s="22">
        <v>1.7569999999999999</v>
      </c>
      <c r="D66" s="22">
        <v>1.615</v>
      </c>
      <c r="E66" s="22">
        <v>1.474</v>
      </c>
      <c r="F66" s="22">
        <v>1.4511999999999998</v>
      </c>
      <c r="G66" s="23">
        <f t="shared" si="71"/>
        <v>1.4511999999999998</v>
      </c>
      <c r="H66" s="22">
        <v>1.8009999999999999</v>
      </c>
      <c r="I66" s="22">
        <v>2.512</v>
      </c>
      <c r="J66" s="22">
        <v>3.7389999999999999</v>
      </c>
      <c r="K66" s="22">
        <v>4.9749999999999996</v>
      </c>
      <c r="L66" s="23">
        <f t="shared" si="72"/>
        <v>4.9749999999999996</v>
      </c>
      <c r="M66" s="22">
        <v>5.9619999999999997</v>
      </c>
      <c r="N66" s="22">
        <v>6.8789999999999996</v>
      </c>
      <c r="O66" s="22">
        <v>9.3659999999999997</v>
      </c>
      <c r="P66" s="22">
        <v>10.948</v>
      </c>
      <c r="Q66" s="23">
        <f t="shared" si="73"/>
        <v>10.948</v>
      </c>
      <c r="R66" s="22">
        <v>13.051</v>
      </c>
      <c r="S66" s="22">
        <v>14.651999999999999</v>
      </c>
      <c r="T66" s="22">
        <v>19.827999999999999</v>
      </c>
      <c r="U66" s="22">
        <v>20.686</v>
      </c>
      <c r="V66" s="23">
        <f t="shared" si="74"/>
        <v>20.686</v>
      </c>
      <c r="W66" s="22">
        <v>24.395</v>
      </c>
      <c r="X66" s="22">
        <v>24.501999999999999</v>
      </c>
      <c r="Y66" s="22">
        <v>25.954999999999998</v>
      </c>
      <c r="Z66" s="22">
        <v>25.02</v>
      </c>
      <c r="AA66" s="23">
        <f t="shared" si="75"/>
        <v>25.02</v>
      </c>
      <c r="AB66" s="22">
        <v>26.259</v>
      </c>
      <c r="AC66" s="22">
        <v>28.547000000000001</v>
      </c>
      <c r="AD66" s="22">
        <v>30.393000000000001</v>
      </c>
      <c r="AE66" s="22">
        <v>24.462</v>
      </c>
      <c r="AF66" s="23">
        <f t="shared" si="76"/>
        <v>24.462</v>
      </c>
      <c r="AG66" s="22">
        <v>26.908000000000001</v>
      </c>
      <c r="AH66" s="33">
        <f>AH447</f>
        <v>27.629918253310006</v>
      </c>
      <c r="AI66" s="33">
        <f t="shared" ref="AI66:AJ66" si="101">AI447</f>
        <v>28.446811446479401</v>
      </c>
      <c r="AJ66" s="33">
        <f t="shared" si="101"/>
        <v>30.129936163285105</v>
      </c>
      <c r="AK66" s="34">
        <f t="shared" si="77"/>
        <v>30.129936163285105</v>
      </c>
      <c r="AL66" s="34">
        <f>AL447</f>
        <v>35.932827153790754</v>
      </c>
      <c r="AM66" s="34">
        <f>AM447</f>
        <v>42.034054184600265</v>
      </c>
      <c r="AN66" s="34">
        <f t="shared" ref="AN66:AT66" si="102">AN447</f>
        <v>48.501144173855096</v>
      </c>
      <c r="AO66" s="34">
        <f t="shared" si="102"/>
        <v>55.391416833368091</v>
      </c>
      <c r="AP66" s="34">
        <f t="shared" si="102"/>
        <v>62.755628293710018</v>
      </c>
      <c r="AQ66" s="34">
        <f t="shared" si="102"/>
        <v>70.640554627271882</v>
      </c>
      <c r="AR66" s="34">
        <f t="shared" si="102"/>
        <v>79.090834767415771</v>
      </c>
      <c r="AS66" s="34">
        <f t="shared" si="102"/>
        <v>88.150296636408754</v>
      </c>
      <c r="AT66" s="34">
        <f t="shared" si="102"/>
        <v>97.862923297603231</v>
      </c>
      <c r="AU66" s="8" t="s">
        <v>29</v>
      </c>
    </row>
    <row r="67" spans="2:47" ht="7.95" customHeight="1" x14ac:dyDescent="0.3">
      <c r="G67" s="7"/>
      <c r="L67" s="7"/>
      <c r="Q67" s="7"/>
      <c r="V67" s="7"/>
      <c r="AA67" s="7"/>
      <c r="AF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8" t="s">
        <v>29</v>
      </c>
    </row>
    <row r="68" spans="2:47" ht="16.2" customHeight="1" x14ac:dyDescent="0.3">
      <c r="B68" s="25" t="s">
        <v>73</v>
      </c>
      <c r="C68" s="28">
        <f t="shared" ref="C68:AJ68" si="103">C69+C78+C83</f>
        <v>263.33</v>
      </c>
      <c r="D68" s="28">
        <f t="shared" si="103"/>
        <v>284.10599999999994</v>
      </c>
      <c r="E68" s="28">
        <f t="shared" si="103"/>
        <v>309.55400000000003</v>
      </c>
      <c r="F68" s="28">
        <f t="shared" si="103"/>
        <v>356.846</v>
      </c>
      <c r="G68" s="29">
        <f t="shared" ref="G68:G85" si="104">F68</f>
        <v>356.846</v>
      </c>
      <c r="H68" s="28">
        <f t="shared" si="103"/>
        <v>369.26</v>
      </c>
      <c r="I68" s="28">
        <f t="shared" si="103"/>
        <v>380.35199999999998</v>
      </c>
      <c r="J68" s="28">
        <f t="shared" si="103"/>
        <v>420.60899999999998</v>
      </c>
      <c r="K68" s="28">
        <f t="shared" si="103"/>
        <v>474.90600000000001</v>
      </c>
      <c r="L68" s="29">
        <f t="shared" ref="L68:L85" si="105">K68</f>
        <v>474.90600000000001</v>
      </c>
      <c r="M68" s="28">
        <f t="shared" si="103"/>
        <v>484.29900000000004</v>
      </c>
      <c r="N68" s="28">
        <f t="shared" si="103"/>
        <v>500.839</v>
      </c>
      <c r="O68" s="28">
        <f t="shared" si="103"/>
        <v>517.05799999999999</v>
      </c>
      <c r="P68" s="28">
        <f t="shared" si="103"/>
        <v>579.85899999999992</v>
      </c>
      <c r="Q68" s="29">
        <f t="shared" ref="Q68:Q85" si="106">P68</f>
        <v>579.85899999999992</v>
      </c>
      <c r="R68" s="28">
        <f t="shared" si="103"/>
        <v>587.3420000000001</v>
      </c>
      <c r="S68" s="28">
        <f t="shared" si="103"/>
        <v>594.83299999999997</v>
      </c>
      <c r="T68" s="28">
        <f t="shared" si="103"/>
        <v>621.26099999999997</v>
      </c>
      <c r="U68" s="28">
        <f t="shared" si="103"/>
        <v>682.10199999999998</v>
      </c>
      <c r="V68" s="29">
        <f t="shared" ref="V68:V85" si="107">U68</f>
        <v>682.10199999999998</v>
      </c>
      <c r="W68" s="28">
        <f t="shared" si="103"/>
        <v>696.28499999999997</v>
      </c>
      <c r="X68" s="28">
        <f t="shared" si="103"/>
        <v>706.39400000000001</v>
      </c>
      <c r="Y68" s="28">
        <f t="shared" si="103"/>
        <v>728.86199999999997</v>
      </c>
      <c r="Z68" s="28">
        <f t="shared" si="103"/>
        <v>825.16599999999994</v>
      </c>
      <c r="AA68" s="29">
        <f t="shared" ref="AA68:AA85" si="108">Z68</f>
        <v>825.16599999999994</v>
      </c>
      <c r="AB68" s="28">
        <f t="shared" si="103"/>
        <v>829.40100000000007</v>
      </c>
      <c r="AC68" s="28">
        <f t="shared" si="103"/>
        <v>822.78100000000006</v>
      </c>
      <c r="AD68" s="28">
        <f t="shared" si="103"/>
        <v>901.33075368000004</v>
      </c>
      <c r="AE68" s="28">
        <f t="shared" si="103"/>
        <v>974.2059999999999</v>
      </c>
      <c r="AF68" s="29">
        <f t="shared" ref="AF68:AF85" si="109">AE68</f>
        <v>974.2059999999999</v>
      </c>
      <c r="AG68" s="28">
        <f t="shared" si="103"/>
        <v>1003.133</v>
      </c>
      <c r="AH68" s="28">
        <f t="shared" ca="1" si="103"/>
        <v>1012.6063277616037</v>
      </c>
      <c r="AI68" s="28">
        <f t="shared" ca="1" si="103"/>
        <v>1051.4643832738552</v>
      </c>
      <c r="AJ68" s="28">
        <f t="shared" ca="1" si="103"/>
        <v>1130.0686125342486</v>
      </c>
      <c r="AK68" s="29">
        <f t="shared" ref="AK68:AK78" ca="1" si="110">AJ68</f>
        <v>1130.0686125342486</v>
      </c>
      <c r="AL68" s="29">
        <f ca="1">AL69+AL78+AL83</f>
        <v>1288.1376716050122</v>
      </c>
      <c r="AM68" s="29">
        <f ca="1">AM69+AM78+AM83</f>
        <v>1460.9191938026961</v>
      </c>
      <c r="AN68" s="29">
        <f t="shared" ref="AN68:AT68" ca="1" si="111">AN69+AN78+AN83</f>
        <v>1646.3929469433308</v>
      </c>
      <c r="AO68" s="29">
        <f t="shared" ca="1" si="111"/>
        <v>1845.5390884673452</v>
      </c>
      <c r="AP68" s="29">
        <f t="shared" ca="1" si="111"/>
        <v>2059.366115453704</v>
      </c>
      <c r="AQ68" s="29">
        <f t="shared" ca="1" si="111"/>
        <v>2288.9188148599178</v>
      </c>
      <c r="AR68" s="29">
        <f t="shared" ca="1" si="111"/>
        <v>2535.2851871718249</v>
      </c>
      <c r="AS68" s="29">
        <f t="shared" ca="1" si="111"/>
        <v>2799.6026512007516</v>
      </c>
      <c r="AT68" s="29">
        <f t="shared" ca="1" si="111"/>
        <v>3083.0637582047561</v>
      </c>
      <c r="AU68" s="8" t="s">
        <v>29</v>
      </c>
    </row>
    <row r="69" spans="2:47" ht="16.2" customHeight="1" x14ac:dyDescent="0.3">
      <c r="B69" s="30" t="s">
        <v>74</v>
      </c>
      <c r="C69" s="28">
        <f t="shared" ref="C69:AJ69" si="112">SUM(C70:C77)</f>
        <v>186.524</v>
      </c>
      <c r="D69" s="28">
        <f t="shared" si="112"/>
        <v>181.84099999999998</v>
      </c>
      <c r="E69" s="28">
        <f t="shared" si="112"/>
        <v>204.87400000000002</v>
      </c>
      <c r="F69" s="28">
        <f t="shared" si="112"/>
        <v>99.9358</v>
      </c>
      <c r="G69" s="29">
        <f t="shared" si="104"/>
        <v>99.9358</v>
      </c>
      <c r="H69" s="28">
        <f t="shared" si="112"/>
        <v>86.046000000000006</v>
      </c>
      <c r="I69" s="28">
        <f t="shared" si="112"/>
        <v>81.742000000000004</v>
      </c>
      <c r="J69" s="28">
        <f t="shared" si="112"/>
        <v>97.393000000000001</v>
      </c>
      <c r="K69" s="28">
        <f t="shared" si="112"/>
        <v>128.04499999999999</v>
      </c>
      <c r="L69" s="29">
        <f t="shared" si="105"/>
        <v>128.04499999999999</v>
      </c>
      <c r="M69" s="28">
        <f t="shared" si="112"/>
        <v>115.25200000000001</v>
      </c>
      <c r="N69" s="28">
        <f t="shared" si="112"/>
        <v>112.99299999999999</v>
      </c>
      <c r="O69" s="28">
        <f t="shared" si="112"/>
        <v>114.432</v>
      </c>
      <c r="P69" s="28">
        <f t="shared" si="112"/>
        <v>166.43599999999998</v>
      </c>
      <c r="Q69" s="29">
        <f t="shared" si="106"/>
        <v>166.43599999999998</v>
      </c>
      <c r="R69" s="28">
        <f t="shared" si="112"/>
        <v>155.61000000000001</v>
      </c>
      <c r="S69" s="28">
        <f t="shared" si="112"/>
        <v>135.31799999999998</v>
      </c>
      <c r="T69" s="28">
        <f t="shared" si="112"/>
        <v>140.12900000000002</v>
      </c>
      <c r="U69" s="28">
        <f t="shared" si="112"/>
        <v>177.72399999999999</v>
      </c>
      <c r="V69" s="29">
        <f t="shared" si="107"/>
        <v>177.72399999999999</v>
      </c>
      <c r="W69" s="28">
        <f t="shared" si="112"/>
        <v>169.149</v>
      </c>
      <c r="X69" s="28">
        <f t="shared" si="112"/>
        <v>154.61000000000001</v>
      </c>
      <c r="Y69" s="28">
        <f t="shared" si="112"/>
        <v>168.93800000000002</v>
      </c>
      <c r="Z69" s="28">
        <f t="shared" si="112"/>
        <v>212.423</v>
      </c>
      <c r="AA69" s="29">
        <f t="shared" si="108"/>
        <v>212.423</v>
      </c>
      <c r="AB69" s="28">
        <f t="shared" si="112"/>
        <v>210.34100000000001</v>
      </c>
      <c r="AC69" s="28">
        <f t="shared" si="112"/>
        <v>176.69100000000003</v>
      </c>
      <c r="AD69" s="28">
        <f t="shared" si="112"/>
        <v>214.31675368000001</v>
      </c>
      <c r="AE69" s="28">
        <f>SUM(AE70:AE77)</f>
        <v>249.18099999999998</v>
      </c>
      <c r="AF69" s="29">
        <f t="shared" si="109"/>
        <v>249.18099999999998</v>
      </c>
      <c r="AG69" s="28">
        <f t="shared" si="112"/>
        <v>246.54599999999999</v>
      </c>
      <c r="AH69" s="28">
        <f t="shared" ca="1" si="112"/>
        <v>401.75152568885886</v>
      </c>
      <c r="AI69" s="28">
        <f t="shared" ca="1" si="112"/>
        <v>431.67988510020496</v>
      </c>
      <c r="AJ69" s="28">
        <f t="shared" ca="1" si="112"/>
        <v>447.88051103154123</v>
      </c>
      <c r="AK69" s="29">
        <f t="shared" ca="1" si="110"/>
        <v>447.88051103154123</v>
      </c>
      <c r="AL69" s="29">
        <f ca="1">SUM(AL70:AL77)</f>
        <v>500.13400634370419</v>
      </c>
      <c r="AM69" s="29">
        <f ca="1">SUM(AM70:AM77)</f>
        <v>557.40438954417345</v>
      </c>
      <c r="AN69" s="29">
        <f t="shared" ref="AN69:AT69" ca="1" si="113">SUM(AN70:AN77)</f>
        <v>619.25487756033976</v>
      </c>
      <c r="AO69" s="29">
        <f t="shared" ca="1" si="113"/>
        <v>685.99300981473039</v>
      </c>
      <c r="AP69" s="29">
        <f t="shared" ca="1" si="113"/>
        <v>757.94527757949788</v>
      </c>
      <c r="AQ69" s="29">
        <f t="shared" ca="1" si="113"/>
        <v>835.45823544273765</v>
      </c>
      <c r="AR69" s="29">
        <f t="shared" ca="1" si="113"/>
        <v>918.89967600869352</v>
      </c>
      <c r="AS69" s="29">
        <f t="shared" ca="1" si="113"/>
        <v>1008.6598713638058</v>
      </c>
      <c r="AT69" s="29">
        <f t="shared" ca="1" si="113"/>
        <v>1105.1528850359346</v>
      </c>
      <c r="AU69" s="8" t="s">
        <v>29</v>
      </c>
    </row>
    <row r="70" spans="2:47" ht="16.2" customHeight="1" x14ac:dyDescent="0.3">
      <c r="B70" s="24" t="s">
        <v>75</v>
      </c>
      <c r="C70" s="22">
        <v>22.198</v>
      </c>
      <c r="D70" s="22">
        <v>12.382</v>
      </c>
      <c r="E70" s="22">
        <v>29.922999999999998</v>
      </c>
      <c r="F70" s="22">
        <v>36.250999999999998</v>
      </c>
      <c r="G70" s="23">
        <f t="shared" si="104"/>
        <v>36.250999999999998</v>
      </c>
      <c r="H70" s="22">
        <v>38.613</v>
      </c>
      <c r="I70" s="22">
        <v>32.984999999999999</v>
      </c>
      <c r="J70" s="22">
        <v>37.235999999999997</v>
      </c>
      <c r="K70" s="22">
        <v>41.408999999999999</v>
      </c>
      <c r="L70" s="23">
        <f t="shared" si="105"/>
        <v>41.408999999999999</v>
      </c>
      <c r="M70" s="22">
        <v>46.101999999999997</v>
      </c>
      <c r="N70" s="22">
        <v>51.308999999999997</v>
      </c>
      <c r="O70" s="22">
        <v>38.466000000000001</v>
      </c>
      <c r="P70" s="22">
        <v>60.335999999999999</v>
      </c>
      <c r="Q70" s="23">
        <f t="shared" si="106"/>
        <v>60.335999999999999</v>
      </c>
      <c r="R70" s="22">
        <v>59.482999999999997</v>
      </c>
      <c r="S70" s="22">
        <v>55.844000000000001</v>
      </c>
      <c r="T70" s="22">
        <v>47.985999999999997</v>
      </c>
      <c r="U70" s="22">
        <v>59.198</v>
      </c>
      <c r="V70" s="23">
        <f t="shared" si="107"/>
        <v>59.198</v>
      </c>
      <c r="W70" s="22">
        <v>64.033000000000001</v>
      </c>
      <c r="X70" s="22">
        <v>69.998000000000005</v>
      </c>
      <c r="Y70" s="22">
        <v>73.099999999999994</v>
      </c>
      <c r="Z70" s="22">
        <v>81.346999999999994</v>
      </c>
      <c r="AA70" s="23">
        <f t="shared" si="108"/>
        <v>81.346999999999994</v>
      </c>
      <c r="AB70" s="22">
        <v>75.78</v>
      </c>
      <c r="AC70" s="22">
        <v>73.772999999999996</v>
      </c>
      <c r="AD70" s="22">
        <v>90.144999999999996</v>
      </c>
      <c r="AE70" s="22">
        <v>88.096999999999994</v>
      </c>
      <c r="AF70" s="23">
        <f t="shared" si="109"/>
        <v>88.096999999999994</v>
      </c>
      <c r="AG70" s="22">
        <v>80.474999999999994</v>
      </c>
      <c r="AH70" s="22">
        <f>AH297</f>
        <v>87.288472752520761</v>
      </c>
      <c r="AI70" s="22">
        <f t="shared" ref="AI70:AJ70" si="114">AI297</f>
        <v>100.38445841705246</v>
      </c>
      <c r="AJ70" s="22">
        <f t="shared" si="114"/>
        <v>97.166107479158555</v>
      </c>
      <c r="AK70" s="23">
        <f t="shared" si="110"/>
        <v>97.166107479158555</v>
      </c>
      <c r="AL70" s="23">
        <f>AL297</f>
        <v>110.87325420996517</v>
      </c>
      <c r="AM70" s="23">
        <f>AM297</f>
        <v>126.10383686612586</v>
      </c>
      <c r="AN70" s="23">
        <f t="shared" ref="AN70:AT70" si="115">AN297</f>
        <v>142.50749937914466</v>
      </c>
      <c r="AO70" s="23">
        <f t="shared" si="115"/>
        <v>160.15924315179342</v>
      </c>
      <c r="AP70" s="23">
        <f t="shared" si="115"/>
        <v>179.13843301552524</v>
      </c>
      <c r="AQ70" s="23">
        <f t="shared" si="115"/>
        <v>199.52903744728877</v>
      </c>
      <c r="AR70" s="23">
        <f t="shared" si="115"/>
        <v>221.41988159031806</v>
      </c>
      <c r="AS70" s="23">
        <f t="shared" si="115"/>
        <v>244.90491375134943</v>
      </c>
      <c r="AT70" s="23">
        <f t="shared" si="115"/>
        <v>270.08348608210827</v>
      </c>
      <c r="AU70" s="8" t="s">
        <v>29</v>
      </c>
    </row>
    <row r="71" spans="2:47" ht="16.2" customHeight="1" x14ac:dyDescent="0.3">
      <c r="B71" s="24" t="s">
        <v>76</v>
      </c>
      <c r="C71" s="22">
        <v>0</v>
      </c>
      <c r="D71" s="22">
        <v>10.118</v>
      </c>
      <c r="E71" s="22">
        <v>15.913</v>
      </c>
      <c r="F71" s="22">
        <v>0</v>
      </c>
      <c r="G71" s="23">
        <f t="shared" si="104"/>
        <v>0</v>
      </c>
      <c r="H71" s="22">
        <v>0</v>
      </c>
      <c r="I71" s="22">
        <v>0</v>
      </c>
      <c r="J71" s="22">
        <v>0</v>
      </c>
      <c r="K71" s="22">
        <v>0</v>
      </c>
      <c r="L71" s="23">
        <f t="shared" si="105"/>
        <v>0</v>
      </c>
      <c r="M71" s="22">
        <v>0</v>
      </c>
      <c r="N71" s="22">
        <v>0</v>
      </c>
      <c r="O71" s="22">
        <v>0</v>
      </c>
      <c r="P71" s="22">
        <v>0</v>
      </c>
      <c r="Q71" s="23">
        <f t="shared" si="106"/>
        <v>0</v>
      </c>
      <c r="R71" s="22">
        <v>0</v>
      </c>
      <c r="S71" s="22">
        <v>0</v>
      </c>
      <c r="T71" s="22">
        <v>0</v>
      </c>
      <c r="U71" s="22">
        <v>0</v>
      </c>
      <c r="V71" s="23">
        <f t="shared" si="107"/>
        <v>0</v>
      </c>
      <c r="W71" s="22">
        <v>0</v>
      </c>
      <c r="X71" s="22">
        <v>0</v>
      </c>
      <c r="Y71" s="22">
        <v>0</v>
      </c>
      <c r="Z71" s="22">
        <v>0</v>
      </c>
      <c r="AA71" s="23">
        <f t="shared" si="108"/>
        <v>0</v>
      </c>
      <c r="AB71" s="22">
        <v>0</v>
      </c>
      <c r="AC71" s="22">
        <v>0</v>
      </c>
      <c r="AD71" s="22">
        <v>0</v>
      </c>
      <c r="AE71" s="22">
        <v>0</v>
      </c>
      <c r="AF71" s="23">
        <f t="shared" si="109"/>
        <v>0</v>
      </c>
      <c r="AG71" s="22">
        <v>0</v>
      </c>
      <c r="AH71" s="33">
        <f ca="1">AH128</f>
        <v>10</v>
      </c>
      <c r="AI71" s="33">
        <f t="shared" ref="AI71:AJ71" ca="1" si="116">AI128</f>
        <v>20</v>
      </c>
      <c r="AJ71" s="33">
        <f t="shared" ca="1" si="116"/>
        <v>35.636813693114895</v>
      </c>
      <c r="AK71" s="34">
        <f t="shared" ca="1" si="110"/>
        <v>35.636813693114895</v>
      </c>
      <c r="AL71" s="34">
        <f ca="1">AL128</f>
        <v>54.509813693114893</v>
      </c>
      <c r="AM71" s="34">
        <f ca="1">AM128</f>
        <v>54.509813693114893</v>
      </c>
      <c r="AN71" s="34">
        <f t="shared" ref="AN71:AT71" ca="1" si="117">AN128</f>
        <v>54.509813693114893</v>
      </c>
      <c r="AO71" s="34">
        <f t="shared" ca="1" si="117"/>
        <v>54.509813693114893</v>
      </c>
      <c r="AP71" s="34">
        <f t="shared" ca="1" si="117"/>
        <v>54.509813693114893</v>
      </c>
      <c r="AQ71" s="34">
        <f t="shared" ca="1" si="117"/>
        <v>54.509813693114893</v>
      </c>
      <c r="AR71" s="34">
        <f t="shared" ca="1" si="117"/>
        <v>54.509813693114893</v>
      </c>
      <c r="AS71" s="34">
        <f t="shared" ca="1" si="117"/>
        <v>54.509813693114893</v>
      </c>
      <c r="AT71" s="34">
        <f t="shared" ca="1" si="117"/>
        <v>54.509813693114893</v>
      </c>
      <c r="AU71" s="8" t="s">
        <v>29</v>
      </c>
    </row>
    <row r="72" spans="2:47" ht="16.2" customHeight="1" x14ac:dyDescent="0.3">
      <c r="B72" s="24" t="s">
        <v>77</v>
      </c>
      <c r="C72" s="22">
        <v>2.5409999999999999</v>
      </c>
      <c r="D72" s="22">
        <v>2.29</v>
      </c>
      <c r="E72" s="22">
        <v>1.99</v>
      </c>
      <c r="F72" s="22">
        <v>0.22900000000000001</v>
      </c>
      <c r="G72" s="23">
        <f t="shared" si="104"/>
        <v>0.22900000000000001</v>
      </c>
      <c r="H72" s="22">
        <v>1.4E-2</v>
      </c>
      <c r="I72" s="22">
        <v>0</v>
      </c>
      <c r="J72" s="22">
        <v>0</v>
      </c>
      <c r="K72" s="22">
        <v>0</v>
      </c>
      <c r="L72" s="23">
        <f t="shared" si="105"/>
        <v>0</v>
      </c>
      <c r="M72" s="22">
        <v>0</v>
      </c>
      <c r="N72" s="22">
        <v>0</v>
      </c>
      <c r="O72" s="22">
        <v>0</v>
      </c>
      <c r="P72" s="22">
        <v>0</v>
      </c>
      <c r="Q72" s="23">
        <f t="shared" si="106"/>
        <v>0</v>
      </c>
      <c r="R72" s="22">
        <v>0</v>
      </c>
      <c r="S72" s="22">
        <v>0</v>
      </c>
      <c r="T72" s="22">
        <v>0</v>
      </c>
      <c r="U72" s="22">
        <v>0</v>
      </c>
      <c r="V72" s="23">
        <f t="shared" si="107"/>
        <v>0</v>
      </c>
      <c r="W72" s="22">
        <v>0</v>
      </c>
      <c r="X72" s="22">
        <v>0</v>
      </c>
      <c r="Y72" s="22">
        <v>0</v>
      </c>
      <c r="Z72" s="22">
        <v>0</v>
      </c>
      <c r="AA72" s="23">
        <f t="shared" si="108"/>
        <v>0</v>
      </c>
      <c r="AB72" s="22">
        <v>0</v>
      </c>
      <c r="AC72" s="22">
        <v>0</v>
      </c>
      <c r="AD72" s="22">
        <v>0</v>
      </c>
      <c r="AE72" s="22">
        <v>0</v>
      </c>
      <c r="AF72" s="23">
        <f t="shared" si="109"/>
        <v>0</v>
      </c>
      <c r="AG72" s="22">
        <v>0</v>
      </c>
      <c r="AH72" s="31">
        <f>AG72</f>
        <v>0</v>
      </c>
      <c r="AI72" s="31">
        <f t="shared" ref="AI72:AJ72" si="118">AH72</f>
        <v>0</v>
      </c>
      <c r="AJ72" s="31">
        <f t="shared" si="118"/>
        <v>0</v>
      </c>
      <c r="AK72" s="23">
        <f t="shared" si="110"/>
        <v>0</v>
      </c>
      <c r="AL72" s="32">
        <f>AK72</f>
        <v>0</v>
      </c>
      <c r="AM72" s="32">
        <f>AL72</f>
        <v>0</v>
      </c>
      <c r="AN72" s="32">
        <f t="shared" ref="AN72:AT72" si="119">AM72</f>
        <v>0</v>
      </c>
      <c r="AO72" s="32">
        <f t="shared" si="119"/>
        <v>0</v>
      </c>
      <c r="AP72" s="32">
        <f t="shared" si="119"/>
        <v>0</v>
      </c>
      <c r="AQ72" s="32">
        <f t="shared" si="119"/>
        <v>0</v>
      </c>
      <c r="AR72" s="32">
        <f t="shared" si="119"/>
        <v>0</v>
      </c>
      <c r="AS72" s="32">
        <f t="shared" si="119"/>
        <v>0</v>
      </c>
      <c r="AT72" s="32">
        <f t="shared" si="119"/>
        <v>0</v>
      </c>
      <c r="AU72" s="8" t="s">
        <v>29</v>
      </c>
    </row>
    <row r="73" spans="2:47" ht="16.2" customHeight="1" x14ac:dyDescent="0.3">
      <c r="B73" s="24" t="s">
        <v>78</v>
      </c>
      <c r="C73" s="22">
        <v>12.465</v>
      </c>
      <c r="D73" s="22">
        <v>12.659000000000001</v>
      </c>
      <c r="E73" s="22">
        <v>13.996</v>
      </c>
      <c r="F73" s="22">
        <v>12.826000000000001</v>
      </c>
      <c r="G73" s="23">
        <f t="shared" si="104"/>
        <v>12.826000000000001</v>
      </c>
      <c r="H73" s="22">
        <v>10.292</v>
      </c>
      <c r="I73" s="22">
        <v>13.298999999999999</v>
      </c>
      <c r="J73" s="22">
        <v>17.765000000000001</v>
      </c>
      <c r="K73" s="22">
        <v>22.283999999999999</v>
      </c>
      <c r="L73" s="23">
        <f t="shared" si="105"/>
        <v>22.283999999999999</v>
      </c>
      <c r="M73" s="22">
        <v>17.623999999999999</v>
      </c>
      <c r="N73" s="22">
        <v>19.428999999999998</v>
      </c>
      <c r="O73" s="22">
        <v>23.274000000000001</v>
      </c>
      <c r="P73" s="22">
        <v>27.388000000000002</v>
      </c>
      <c r="Q73" s="23">
        <f t="shared" si="106"/>
        <v>27.388000000000002</v>
      </c>
      <c r="R73" s="22">
        <v>23.164999999999999</v>
      </c>
      <c r="S73" s="22">
        <v>24.742999999999999</v>
      </c>
      <c r="T73" s="22">
        <v>29.696000000000002</v>
      </c>
      <c r="U73" s="22">
        <v>34.652000000000001</v>
      </c>
      <c r="V73" s="23">
        <f t="shared" si="107"/>
        <v>34.652000000000001</v>
      </c>
      <c r="W73" s="22">
        <v>32.213999999999999</v>
      </c>
      <c r="X73" s="22">
        <v>29.14</v>
      </c>
      <c r="Y73" s="22">
        <v>34.768000000000001</v>
      </c>
      <c r="Z73" s="22">
        <v>40.598999999999997</v>
      </c>
      <c r="AA73" s="23">
        <f t="shared" si="108"/>
        <v>40.598999999999997</v>
      </c>
      <c r="AB73" s="22">
        <v>40.606999999999999</v>
      </c>
      <c r="AC73" s="22">
        <v>35.665999999999997</v>
      </c>
      <c r="AD73" s="22">
        <v>44.505000000000003</v>
      </c>
      <c r="AE73" s="22">
        <v>53.762999999999998</v>
      </c>
      <c r="AF73" s="23">
        <f t="shared" si="109"/>
        <v>53.762999999999998</v>
      </c>
      <c r="AG73" s="22">
        <v>53.737000000000002</v>
      </c>
      <c r="AH73" s="22">
        <f>AH300</f>
        <v>42.200136488842887</v>
      </c>
      <c r="AI73" s="22">
        <f t="shared" ref="AI73:AJ73" si="120">AI300</f>
        <v>49.560267589449445</v>
      </c>
      <c r="AJ73" s="22">
        <f t="shared" si="120"/>
        <v>59.297608731307562</v>
      </c>
      <c r="AK73" s="23">
        <f t="shared" si="110"/>
        <v>59.297608731307562</v>
      </c>
      <c r="AL73" s="23">
        <f>AL300</f>
        <v>67.6626759831817</v>
      </c>
      <c r="AM73" s="23">
        <f>AM300</f>
        <v>76.957451234815323</v>
      </c>
      <c r="AN73" s="23">
        <f t="shared" ref="AN73:AT73" si="121">AN300</f>
        <v>86.968122514057868</v>
      </c>
      <c r="AO73" s="23">
        <f t="shared" si="121"/>
        <v>97.740460964276537</v>
      </c>
      <c r="AP73" s="23">
        <f t="shared" si="121"/>
        <v>109.32290060062982</v>
      </c>
      <c r="AQ73" s="23">
        <f t="shared" si="121"/>
        <v>121.76668490730204</v>
      </c>
      <c r="AR73" s="23">
        <f t="shared" si="121"/>
        <v>135.12602124862676</v>
      </c>
      <c r="AS73" s="23">
        <f t="shared" si="121"/>
        <v>149.45824350447577</v>
      </c>
      <c r="AT73" s="23">
        <f t="shared" si="121"/>
        <v>164.82398336188959</v>
      </c>
      <c r="AU73" s="8" t="s">
        <v>29</v>
      </c>
    </row>
    <row r="74" spans="2:47" ht="16.2" customHeight="1" x14ac:dyDescent="0.3">
      <c r="B74" s="24" t="s">
        <v>79</v>
      </c>
      <c r="C74" s="22">
        <v>6.1950000000000003</v>
      </c>
      <c r="D74" s="22">
        <v>7.3339999999999996</v>
      </c>
      <c r="E74" s="22">
        <v>7.718</v>
      </c>
      <c r="F74" s="22">
        <v>18.199000000000002</v>
      </c>
      <c r="G74" s="23">
        <f t="shared" si="104"/>
        <v>18.199000000000002</v>
      </c>
      <c r="H74" s="22">
        <v>4.718</v>
      </c>
      <c r="I74" s="22">
        <v>7.008</v>
      </c>
      <c r="J74" s="22">
        <v>12.641</v>
      </c>
      <c r="K74" s="22">
        <v>22.526</v>
      </c>
      <c r="L74" s="23">
        <f t="shared" si="105"/>
        <v>22.526</v>
      </c>
      <c r="M74" s="22">
        <v>10.946999999999999</v>
      </c>
      <c r="N74" s="22">
        <v>12.06</v>
      </c>
      <c r="O74" s="22">
        <v>15.759</v>
      </c>
      <c r="P74" s="22">
        <v>30.192</v>
      </c>
      <c r="Q74" s="23">
        <f t="shared" si="106"/>
        <v>30.192</v>
      </c>
      <c r="R74" s="22">
        <v>11.438000000000001</v>
      </c>
      <c r="S74" s="22">
        <v>12.76</v>
      </c>
      <c r="T74" s="22">
        <v>17.652999999999999</v>
      </c>
      <c r="U74" s="22">
        <v>30.635999999999999</v>
      </c>
      <c r="V74" s="23">
        <f t="shared" si="107"/>
        <v>30.635999999999999</v>
      </c>
      <c r="W74" s="22">
        <v>15.673999999999999</v>
      </c>
      <c r="X74" s="22">
        <v>14.468</v>
      </c>
      <c r="Y74" s="22">
        <v>15.554</v>
      </c>
      <c r="Z74" s="22">
        <v>34.725000000000001</v>
      </c>
      <c r="AA74" s="23">
        <f t="shared" si="108"/>
        <v>34.725000000000001</v>
      </c>
      <c r="AB74" s="22">
        <v>22.701000000000001</v>
      </c>
      <c r="AC74" s="22">
        <v>18.949000000000002</v>
      </c>
      <c r="AD74" s="22">
        <v>24.77</v>
      </c>
      <c r="AE74" s="22">
        <v>44.503</v>
      </c>
      <c r="AF74" s="23">
        <f t="shared" si="109"/>
        <v>44.503</v>
      </c>
      <c r="AG74" s="22">
        <v>27.315999999999999</v>
      </c>
      <c r="AH74" s="31">
        <f>AG74</f>
        <v>27.315999999999999</v>
      </c>
      <c r="AI74" s="31">
        <f t="shared" ref="AI74:AJ74" si="122">AH74</f>
        <v>27.315999999999999</v>
      </c>
      <c r="AJ74" s="31">
        <f t="shared" si="122"/>
        <v>27.315999999999999</v>
      </c>
      <c r="AK74" s="23">
        <f t="shared" si="110"/>
        <v>27.315999999999999</v>
      </c>
      <c r="AL74" s="32">
        <f>AK74</f>
        <v>27.315999999999999</v>
      </c>
      <c r="AM74" s="32">
        <f>AL74</f>
        <v>27.315999999999999</v>
      </c>
      <c r="AN74" s="32">
        <f t="shared" ref="AN74:AT74" si="123">AM74</f>
        <v>27.315999999999999</v>
      </c>
      <c r="AO74" s="32">
        <f t="shared" si="123"/>
        <v>27.315999999999999</v>
      </c>
      <c r="AP74" s="32">
        <f t="shared" si="123"/>
        <v>27.315999999999999</v>
      </c>
      <c r="AQ74" s="32">
        <f t="shared" si="123"/>
        <v>27.315999999999999</v>
      </c>
      <c r="AR74" s="32">
        <f t="shared" si="123"/>
        <v>27.315999999999999</v>
      </c>
      <c r="AS74" s="32">
        <f t="shared" si="123"/>
        <v>27.315999999999999</v>
      </c>
      <c r="AT74" s="32">
        <f t="shared" si="123"/>
        <v>27.315999999999999</v>
      </c>
      <c r="AU74" s="8" t="s">
        <v>29</v>
      </c>
    </row>
    <row r="75" spans="2:47" ht="16.2" customHeight="1" x14ac:dyDescent="0.3">
      <c r="B75" s="24" t="s">
        <v>80</v>
      </c>
      <c r="C75" s="22">
        <v>4.8470000000000004</v>
      </c>
      <c r="D75" s="22">
        <v>7.4039999999999999</v>
      </c>
      <c r="E75" s="22">
        <v>5.6310000000000002</v>
      </c>
      <c r="F75" s="22">
        <v>6.9096000000000002</v>
      </c>
      <c r="G75" s="23">
        <f t="shared" si="104"/>
        <v>6.9096000000000002</v>
      </c>
      <c r="H75" s="22">
        <v>8.6515333775999999</v>
      </c>
      <c r="I75" s="22">
        <v>10.0998882376</v>
      </c>
      <c r="J75" s="22">
        <v>10.7544830976</v>
      </c>
      <c r="K75" s="22">
        <v>10.4294870376</v>
      </c>
      <c r="L75" s="23">
        <f t="shared" si="105"/>
        <v>10.4294870376</v>
      </c>
      <c r="M75" s="22">
        <v>12.0006397776</v>
      </c>
      <c r="N75" s="22">
        <v>12.802913917600002</v>
      </c>
      <c r="O75" s="22">
        <v>14.629199397599999</v>
      </c>
      <c r="P75" s="22">
        <v>15.767495797600001</v>
      </c>
      <c r="Q75" s="23">
        <f t="shared" si="106"/>
        <v>15.767495797600001</v>
      </c>
      <c r="R75" s="22">
        <v>16.352980517599999</v>
      </c>
      <c r="S75" s="22">
        <v>17.213134137599997</v>
      </c>
      <c r="T75" s="22">
        <v>18.994059137600001</v>
      </c>
      <c r="U75" s="22">
        <v>17.682221007600003</v>
      </c>
      <c r="V75" s="23">
        <f t="shared" si="107"/>
        <v>17.682221007600003</v>
      </c>
      <c r="W75" s="22">
        <v>16.465425327599998</v>
      </c>
      <c r="X75" s="22">
        <v>16.800515107599999</v>
      </c>
      <c r="Y75" s="22">
        <v>17.316922877600003</v>
      </c>
      <c r="Z75" s="22">
        <v>15.889569419999999</v>
      </c>
      <c r="AA75" s="23">
        <f t="shared" si="108"/>
        <v>15.889569419999999</v>
      </c>
      <c r="AB75" s="22">
        <v>16.532385569999999</v>
      </c>
      <c r="AC75" s="22">
        <v>16.624722590000001</v>
      </c>
      <c r="AD75" s="22">
        <v>17.897753680000001</v>
      </c>
      <c r="AE75" s="22">
        <v>17.003552749999997</v>
      </c>
      <c r="AF75" s="23">
        <f t="shared" si="109"/>
        <v>17.003552749999997</v>
      </c>
      <c r="AG75" s="22">
        <v>17.92267944</v>
      </c>
      <c r="AH75" s="33">
        <f>AH360</f>
        <v>178.83667943999998</v>
      </c>
      <c r="AI75" s="33">
        <f t="shared" ref="AI75:AJ75" si="124">AI360</f>
        <v>193.80002489454543</v>
      </c>
      <c r="AJ75" s="33">
        <f t="shared" si="124"/>
        <v>198.48604193999998</v>
      </c>
      <c r="AK75" s="34">
        <f t="shared" si="110"/>
        <v>198.48604193999998</v>
      </c>
      <c r="AL75" s="34">
        <f>AL360</f>
        <v>227.10075818999999</v>
      </c>
      <c r="AM75" s="34">
        <f>AM360</f>
        <v>258.10510765875</v>
      </c>
      <c r="AN75" s="34">
        <f t="shared" ref="AN75:AT75" si="125">AN360</f>
        <v>291.66651687750004</v>
      </c>
      <c r="AO75" s="34">
        <f t="shared" si="125"/>
        <v>327.96318094757817</v>
      </c>
      <c r="AP75" s="34">
        <f t="shared" si="125"/>
        <v>367.18472183107031</v>
      </c>
      <c r="AQ75" s="34">
        <f t="shared" si="125"/>
        <v>409.5328855491428</v>
      </c>
      <c r="AR75" s="34">
        <f t="shared" si="125"/>
        <v>455.2222805330448</v>
      </c>
      <c r="AS75" s="34">
        <f t="shared" si="125"/>
        <v>504.48115950006428</v>
      </c>
      <c r="AT75" s="34">
        <f t="shared" si="125"/>
        <v>557.55224736105299</v>
      </c>
      <c r="AU75" s="8" t="s">
        <v>29</v>
      </c>
    </row>
    <row r="76" spans="2:47" ht="16.2" customHeight="1" x14ac:dyDescent="0.3">
      <c r="B76" s="24" t="s">
        <v>81</v>
      </c>
      <c r="C76" s="22">
        <v>123.295</v>
      </c>
      <c r="D76" s="22">
        <v>114.06399999999999</v>
      </c>
      <c r="E76" s="22">
        <v>114.06399999999999</v>
      </c>
      <c r="F76" s="22">
        <v>6.1349999999999998</v>
      </c>
      <c r="G76" s="23">
        <f t="shared" si="104"/>
        <v>6.1349999999999998</v>
      </c>
      <c r="H76" s="22">
        <v>6.1349999999999998</v>
      </c>
      <c r="I76" s="22">
        <v>0</v>
      </c>
      <c r="J76" s="22">
        <v>0</v>
      </c>
      <c r="K76" s="22">
        <v>9.8810000000000002</v>
      </c>
      <c r="L76" s="23">
        <f t="shared" si="105"/>
        <v>9.8810000000000002</v>
      </c>
      <c r="M76" s="22">
        <v>9.8810000000000002</v>
      </c>
      <c r="N76" s="22">
        <v>0</v>
      </c>
      <c r="O76" s="22">
        <v>8.65</v>
      </c>
      <c r="P76" s="22">
        <v>23.683</v>
      </c>
      <c r="Q76" s="23">
        <f t="shared" si="106"/>
        <v>23.683</v>
      </c>
      <c r="R76" s="22">
        <v>27.106999999999999</v>
      </c>
      <c r="S76" s="22">
        <v>10.388999999999999</v>
      </c>
      <c r="T76" s="22">
        <v>15.571999999999999</v>
      </c>
      <c r="U76" s="22">
        <v>27.472999999999999</v>
      </c>
      <c r="V76" s="23">
        <f t="shared" si="107"/>
        <v>27.472999999999999</v>
      </c>
      <c r="W76" s="22">
        <v>33.113</v>
      </c>
      <c r="X76" s="22">
        <v>12.327</v>
      </c>
      <c r="Y76" s="22">
        <v>18.303999999999998</v>
      </c>
      <c r="Z76" s="22">
        <v>28.776</v>
      </c>
      <c r="AA76" s="23">
        <f t="shared" si="108"/>
        <v>28.776</v>
      </c>
      <c r="AB76" s="22">
        <v>36.220999999999997</v>
      </c>
      <c r="AC76" s="22">
        <v>17.11</v>
      </c>
      <c r="AD76" s="22">
        <v>26.451000000000001</v>
      </c>
      <c r="AE76" s="22">
        <v>35.746000000000002</v>
      </c>
      <c r="AF76" s="23">
        <f t="shared" si="109"/>
        <v>35.746000000000002</v>
      </c>
      <c r="AG76" s="22">
        <v>48.872999999999998</v>
      </c>
      <c r="AH76" s="22">
        <f>AH129</f>
        <v>38.872999999999998</v>
      </c>
      <c r="AI76" s="22">
        <f t="shared" ref="AI76:AJ76" si="126">AI129</f>
        <v>28.872999999999998</v>
      </c>
      <c r="AJ76" s="22">
        <f t="shared" si="126"/>
        <v>18.872999999999998</v>
      </c>
      <c r="AK76" s="23">
        <f t="shared" si="110"/>
        <v>18.872999999999998</v>
      </c>
      <c r="AL76" s="23">
        <f>AL129</f>
        <v>0</v>
      </c>
      <c r="AM76" s="23">
        <f>AM129</f>
        <v>0</v>
      </c>
      <c r="AN76" s="23">
        <f t="shared" ref="AN76:AT76" si="127">AN129</f>
        <v>0</v>
      </c>
      <c r="AO76" s="23">
        <f t="shared" si="127"/>
        <v>0</v>
      </c>
      <c r="AP76" s="23">
        <f t="shared" si="127"/>
        <v>0</v>
      </c>
      <c r="AQ76" s="23">
        <f t="shared" si="127"/>
        <v>0</v>
      </c>
      <c r="AR76" s="23">
        <f t="shared" si="127"/>
        <v>0</v>
      </c>
      <c r="AS76" s="23">
        <f t="shared" si="127"/>
        <v>0</v>
      </c>
      <c r="AT76" s="23">
        <f t="shared" si="127"/>
        <v>0</v>
      </c>
      <c r="AU76" s="8" t="s">
        <v>29</v>
      </c>
    </row>
    <row r="77" spans="2:47" ht="16.2" customHeight="1" x14ac:dyDescent="0.3">
      <c r="B77" s="24" t="s">
        <v>82</v>
      </c>
      <c r="C77" s="22">
        <v>14.983000000000001</v>
      </c>
      <c r="D77" s="22">
        <v>15.59</v>
      </c>
      <c r="E77" s="22">
        <v>15.638999999999999</v>
      </c>
      <c r="F77" s="22">
        <v>19.386200000000002</v>
      </c>
      <c r="G77" s="23">
        <f t="shared" si="104"/>
        <v>19.386200000000002</v>
      </c>
      <c r="H77" s="22">
        <v>17.622466622400001</v>
      </c>
      <c r="I77" s="22">
        <v>18.350111762400001</v>
      </c>
      <c r="J77" s="22">
        <v>18.9965169024</v>
      </c>
      <c r="K77" s="22">
        <v>21.515512962399999</v>
      </c>
      <c r="L77" s="23">
        <f t="shared" si="105"/>
        <v>21.515512962399999</v>
      </c>
      <c r="M77" s="22">
        <v>18.6973602224</v>
      </c>
      <c r="N77" s="22">
        <v>17.392086082399999</v>
      </c>
      <c r="O77" s="22">
        <v>13.6538006024</v>
      </c>
      <c r="P77" s="22">
        <v>9.0695042023999992</v>
      </c>
      <c r="Q77" s="23">
        <f t="shared" si="106"/>
        <v>9.0695042023999992</v>
      </c>
      <c r="R77" s="22">
        <v>18.064019482399999</v>
      </c>
      <c r="S77" s="22">
        <v>14.3688658624</v>
      </c>
      <c r="T77" s="22">
        <v>10.227940862400001</v>
      </c>
      <c r="U77" s="22">
        <v>8.0827789924000015</v>
      </c>
      <c r="V77" s="23">
        <f t="shared" si="107"/>
        <v>8.0827789924000015</v>
      </c>
      <c r="W77" s="22">
        <v>7.6495746724</v>
      </c>
      <c r="X77" s="22">
        <v>11.876484892400001</v>
      </c>
      <c r="Y77" s="22">
        <v>9.8950771224</v>
      </c>
      <c r="Z77" s="22">
        <v>11.08643058</v>
      </c>
      <c r="AA77" s="23">
        <f t="shared" si="108"/>
        <v>11.08643058</v>
      </c>
      <c r="AB77" s="22">
        <v>18.499614430000001</v>
      </c>
      <c r="AC77" s="22">
        <v>14.568277409999999</v>
      </c>
      <c r="AD77" s="22">
        <v>10.548</v>
      </c>
      <c r="AE77" s="22">
        <v>10.068447249999998</v>
      </c>
      <c r="AF77" s="23">
        <f t="shared" si="109"/>
        <v>10.068447249999998</v>
      </c>
      <c r="AG77" s="22">
        <v>18.22232056</v>
      </c>
      <c r="AH77" s="22">
        <f>AH303</f>
        <v>17.237237007495278</v>
      </c>
      <c r="AI77" s="22">
        <f t="shared" ref="AI77:AJ77" si="128">AI303</f>
        <v>11.746134199157686</v>
      </c>
      <c r="AJ77" s="22">
        <f t="shared" si="128"/>
        <v>11.104939187960298</v>
      </c>
      <c r="AK77" s="23">
        <f t="shared" si="110"/>
        <v>11.104939187960298</v>
      </c>
      <c r="AL77" s="23">
        <f>AL303</f>
        <v>12.671504267442419</v>
      </c>
      <c r="AM77" s="23">
        <f>AM303</f>
        <v>14.412180091367397</v>
      </c>
      <c r="AN77" s="23">
        <f t="shared" ref="AN77:AT77" si="129">AN303</f>
        <v>16.28692509652231</v>
      </c>
      <c r="AO77" s="23">
        <f t="shared" si="129"/>
        <v>18.304311057967421</v>
      </c>
      <c r="AP77" s="23">
        <f t="shared" si="129"/>
        <v>20.473408439157684</v>
      </c>
      <c r="AQ77" s="23">
        <f t="shared" si="129"/>
        <v>22.803813845889209</v>
      </c>
      <c r="AR77" s="23">
        <f t="shared" si="129"/>
        <v>25.30567894358904</v>
      </c>
      <c r="AS77" s="23">
        <f t="shared" si="129"/>
        <v>27.989740914801427</v>
      </c>
      <c r="AT77" s="23">
        <f t="shared" si="129"/>
        <v>30.867354537768779</v>
      </c>
      <c r="AU77" s="8" t="s">
        <v>29</v>
      </c>
    </row>
    <row r="78" spans="2:47" ht="16.2" customHeight="1" x14ac:dyDescent="0.3">
      <c r="B78" s="30" t="s">
        <v>83</v>
      </c>
      <c r="C78" s="28">
        <f t="shared" ref="C78:AJ78" si="130">SUM(C79:C82)</f>
        <v>64.983000000000004</v>
      </c>
      <c r="D78" s="28">
        <f t="shared" si="130"/>
        <v>82.170999999999992</v>
      </c>
      <c r="E78" s="28">
        <f t="shared" si="130"/>
        <v>77.418999999999997</v>
      </c>
      <c r="F78" s="28">
        <f t="shared" si="130"/>
        <v>55.268199999999993</v>
      </c>
      <c r="G78" s="29">
        <f t="shared" si="104"/>
        <v>55.268199999999993</v>
      </c>
      <c r="H78" s="28">
        <f t="shared" si="130"/>
        <v>74.343999999999994</v>
      </c>
      <c r="I78" s="28">
        <f t="shared" si="130"/>
        <v>76.361999999999995</v>
      </c>
      <c r="J78" s="28">
        <f t="shared" si="130"/>
        <v>77.640999999999991</v>
      </c>
      <c r="K78" s="28">
        <f t="shared" si="130"/>
        <v>79.054000000000002</v>
      </c>
      <c r="L78" s="29">
        <f t="shared" si="105"/>
        <v>79.054000000000002</v>
      </c>
      <c r="M78" s="28">
        <f t="shared" si="130"/>
        <v>81.266000000000005</v>
      </c>
      <c r="N78" s="28">
        <f t="shared" si="130"/>
        <v>82.790999999999997</v>
      </c>
      <c r="O78" s="28">
        <f t="shared" si="130"/>
        <v>84.687999999999988</v>
      </c>
      <c r="P78" s="28">
        <f t="shared" si="130"/>
        <v>85.094999999999999</v>
      </c>
      <c r="Q78" s="29">
        <f t="shared" si="106"/>
        <v>85.094999999999999</v>
      </c>
      <c r="R78" s="28">
        <f t="shared" si="130"/>
        <v>83.495000000000005</v>
      </c>
      <c r="S78" s="28">
        <f t="shared" si="130"/>
        <v>89.93</v>
      </c>
      <c r="T78" s="28">
        <f t="shared" si="130"/>
        <v>90.227000000000004</v>
      </c>
      <c r="U78" s="28">
        <f t="shared" si="130"/>
        <v>90.745000000000005</v>
      </c>
      <c r="V78" s="29">
        <f t="shared" si="107"/>
        <v>90.745000000000005</v>
      </c>
      <c r="W78" s="28">
        <f t="shared" si="130"/>
        <v>92.341999999999999</v>
      </c>
      <c r="X78" s="28">
        <f t="shared" si="130"/>
        <v>103.738</v>
      </c>
      <c r="Y78" s="28">
        <f t="shared" si="130"/>
        <v>106.351</v>
      </c>
      <c r="Z78" s="28">
        <f t="shared" si="130"/>
        <v>139.934</v>
      </c>
      <c r="AA78" s="29">
        <f t="shared" si="108"/>
        <v>139.934</v>
      </c>
      <c r="AB78" s="28">
        <f t="shared" si="130"/>
        <v>135.03900000000002</v>
      </c>
      <c r="AC78" s="28">
        <f t="shared" si="130"/>
        <v>133.85900000000001</v>
      </c>
      <c r="AD78" s="28">
        <f t="shared" si="130"/>
        <v>155.39500000000001</v>
      </c>
      <c r="AE78" s="28">
        <f t="shared" si="130"/>
        <v>158.09</v>
      </c>
      <c r="AF78" s="29">
        <f t="shared" si="109"/>
        <v>158.09</v>
      </c>
      <c r="AG78" s="28">
        <f t="shared" si="130"/>
        <v>165.11799999999999</v>
      </c>
      <c r="AH78" s="28">
        <f t="shared" si="130"/>
        <v>4.2039999999999997</v>
      </c>
      <c r="AI78" s="28">
        <f t="shared" si="130"/>
        <v>4.2039999999999997</v>
      </c>
      <c r="AJ78" s="28">
        <f t="shared" si="130"/>
        <v>4.2039999999999997</v>
      </c>
      <c r="AK78" s="29">
        <f t="shared" si="110"/>
        <v>4.2039999999999997</v>
      </c>
      <c r="AL78" s="29">
        <f>SUM(AL79:AL82)</f>
        <v>4.2039999999999997</v>
      </c>
      <c r="AM78" s="29">
        <f>SUM(AM79:AM82)</f>
        <v>4.2039999999999997</v>
      </c>
      <c r="AN78" s="29">
        <f t="shared" ref="AN78:AT78" si="131">SUM(AN79:AN82)</f>
        <v>4.2039999999999997</v>
      </c>
      <c r="AO78" s="29">
        <f t="shared" si="131"/>
        <v>4.2039999999999997</v>
      </c>
      <c r="AP78" s="29">
        <f t="shared" si="131"/>
        <v>4.2039999999999997</v>
      </c>
      <c r="AQ78" s="29">
        <f t="shared" si="131"/>
        <v>4.2039999999999997</v>
      </c>
      <c r="AR78" s="29">
        <f t="shared" si="131"/>
        <v>4.2039999999999997</v>
      </c>
      <c r="AS78" s="29">
        <f t="shared" si="131"/>
        <v>4.2039999999999997</v>
      </c>
      <c r="AT78" s="29">
        <f t="shared" si="131"/>
        <v>4.2039999999999997</v>
      </c>
      <c r="AU78" s="8" t="s">
        <v>29</v>
      </c>
    </row>
    <row r="79" spans="2:47" ht="16.2" customHeight="1" x14ac:dyDescent="0.3">
      <c r="B79" s="24" t="s">
        <v>75</v>
      </c>
      <c r="C79" s="22">
        <v>0</v>
      </c>
      <c r="D79" s="22">
        <v>0</v>
      </c>
      <c r="E79" s="22">
        <v>0</v>
      </c>
      <c r="F79" s="22">
        <v>0</v>
      </c>
      <c r="G79" s="23">
        <f t="shared" si="104"/>
        <v>0</v>
      </c>
      <c r="H79" s="22">
        <v>0</v>
      </c>
      <c r="I79" s="22">
        <v>0</v>
      </c>
      <c r="J79" s="22">
        <v>0</v>
      </c>
      <c r="K79" s="22">
        <v>0</v>
      </c>
      <c r="L79" s="23">
        <f t="shared" si="105"/>
        <v>0</v>
      </c>
      <c r="M79" s="22">
        <v>0</v>
      </c>
      <c r="N79" s="22">
        <v>1.927</v>
      </c>
      <c r="O79" s="22">
        <v>1.972</v>
      </c>
      <c r="P79" s="22">
        <v>1.5860000000000001</v>
      </c>
      <c r="Q79" s="23">
        <f t="shared" si="106"/>
        <v>1.5860000000000001</v>
      </c>
      <c r="R79" s="22">
        <v>1.1319999999999999</v>
      </c>
      <c r="S79" s="22">
        <v>0.879</v>
      </c>
      <c r="T79" s="22">
        <v>0.60899999999999999</v>
      </c>
      <c r="U79" s="22">
        <v>0.29399999999999998</v>
      </c>
      <c r="V79" s="23">
        <f t="shared" si="107"/>
        <v>0.29399999999999998</v>
      </c>
      <c r="W79" s="22">
        <v>0</v>
      </c>
      <c r="X79" s="22">
        <v>0</v>
      </c>
      <c r="Y79" s="22">
        <v>0</v>
      </c>
      <c r="Z79" s="22">
        <v>0</v>
      </c>
      <c r="AA79" s="23">
        <f t="shared" si="108"/>
        <v>0</v>
      </c>
      <c r="AB79" s="22">
        <v>0</v>
      </c>
      <c r="AC79" s="22">
        <v>0</v>
      </c>
      <c r="AD79" s="22">
        <v>0</v>
      </c>
      <c r="AE79" s="22">
        <v>0</v>
      </c>
      <c r="AF79" s="23">
        <f t="shared" si="109"/>
        <v>0</v>
      </c>
      <c r="AG79" s="22">
        <v>0</v>
      </c>
      <c r="AH79" s="167"/>
      <c r="AI79" s="167"/>
      <c r="AJ79" s="167"/>
      <c r="AK79" s="168"/>
      <c r="AL79" s="168"/>
      <c r="AM79" s="168"/>
      <c r="AN79" s="168"/>
      <c r="AO79" s="168"/>
      <c r="AP79" s="168"/>
      <c r="AQ79" s="168"/>
      <c r="AR79" s="168"/>
      <c r="AS79" s="168"/>
      <c r="AT79" s="168"/>
      <c r="AU79" s="8" t="s">
        <v>29</v>
      </c>
    </row>
    <row r="80" spans="2:47" ht="16.2" customHeight="1" x14ac:dyDescent="0.3">
      <c r="B80" s="24" t="s">
        <v>84</v>
      </c>
      <c r="C80" s="22">
        <v>0</v>
      </c>
      <c r="D80" s="22">
        <v>20.106999999999999</v>
      </c>
      <c r="E80" s="22">
        <v>14.542</v>
      </c>
      <c r="F80" s="22">
        <v>0</v>
      </c>
      <c r="G80" s="23">
        <f t="shared" si="104"/>
        <v>0</v>
      </c>
      <c r="H80" s="22">
        <v>0</v>
      </c>
      <c r="I80" s="22">
        <v>0</v>
      </c>
      <c r="J80" s="22">
        <v>0</v>
      </c>
      <c r="K80" s="22">
        <v>0</v>
      </c>
      <c r="L80" s="23">
        <f t="shared" si="105"/>
        <v>0</v>
      </c>
      <c r="M80" s="22">
        <v>0</v>
      </c>
      <c r="N80" s="22">
        <v>0</v>
      </c>
      <c r="O80" s="22">
        <v>0</v>
      </c>
      <c r="P80" s="22">
        <v>0</v>
      </c>
      <c r="Q80" s="23">
        <f t="shared" si="106"/>
        <v>0</v>
      </c>
      <c r="R80" s="22">
        <v>0</v>
      </c>
      <c r="S80" s="22">
        <v>0</v>
      </c>
      <c r="T80" s="22">
        <v>0</v>
      </c>
      <c r="U80" s="22">
        <v>0</v>
      </c>
      <c r="V80" s="23">
        <f t="shared" si="107"/>
        <v>0</v>
      </c>
      <c r="W80" s="22">
        <v>0</v>
      </c>
      <c r="X80" s="22">
        <v>0</v>
      </c>
      <c r="Y80" s="22">
        <v>0</v>
      </c>
      <c r="Z80" s="22">
        <v>0</v>
      </c>
      <c r="AA80" s="23">
        <f t="shared" si="108"/>
        <v>0</v>
      </c>
      <c r="AB80" s="22">
        <v>0</v>
      </c>
      <c r="AC80" s="22">
        <v>0</v>
      </c>
      <c r="AD80" s="22">
        <v>0</v>
      </c>
      <c r="AE80" s="22">
        <v>0</v>
      </c>
      <c r="AF80" s="23">
        <f t="shared" si="109"/>
        <v>0</v>
      </c>
      <c r="AG80" s="22">
        <v>0</v>
      </c>
      <c r="AH80" s="167"/>
      <c r="AI80" s="167"/>
      <c r="AJ80" s="167"/>
      <c r="AK80" s="168"/>
      <c r="AL80" s="168"/>
      <c r="AM80" s="168"/>
      <c r="AN80" s="168"/>
      <c r="AO80" s="168"/>
      <c r="AP80" s="168"/>
      <c r="AQ80" s="168"/>
      <c r="AR80" s="168"/>
      <c r="AS80" s="168"/>
      <c r="AT80" s="168"/>
      <c r="AU80" s="8" t="s">
        <v>29</v>
      </c>
    </row>
    <row r="81" spans="1:47" ht="16.2" customHeight="1" x14ac:dyDescent="0.3">
      <c r="B81" s="24" t="s">
        <v>80</v>
      </c>
      <c r="C81" s="22">
        <v>42.883000000000003</v>
      </c>
      <c r="D81" s="22">
        <v>40.604999999999997</v>
      </c>
      <c r="E81" s="22">
        <v>40.853999999999999</v>
      </c>
      <c r="F81" s="22">
        <v>44.023199999999996</v>
      </c>
      <c r="G81" s="23">
        <f t="shared" si="104"/>
        <v>44.023199999999996</v>
      </c>
      <c r="H81" s="22">
        <v>63.601999999999997</v>
      </c>
      <c r="I81" s="22">
        <v>65.289000000000001</v>
      </c>
      <c r="J81" s="22">
        <v>66.698999999999998</v>
      </c>
      <c r="K81" s="22">
        <v>68.564999999999998</v>
      </c>
      <c r="L81" s="23">
        <f t="shared" si="105"/>
        <v>68.564999999999998</v>
      </c>
      <c r="M81" s="22">
        <v>72.150000000000006</v>
      </c>
      <c r="N81" s="22">
        <v>71.906999999999996</v>
      </c>
      <c r="O81" s="22">
        <v>74.197999999999993</v>
      </c>
      <c r="P81" s="22">
        <v>75.599999999999994</v>
      </c>
      <c r="Q81" s="23">
        <f t="shared" si="106"/>
        <v>75.599999999999994</v>
      </c>
      <c r="R81" s="22">
        <v>74.683999999999997</v>
      </c>
      <c r="S81" s="22">
        <v>81.617000000000004</v>
      </c>
      <c r="T81" s="22">
        <v>82.745000000000005</v>
      </c>
      <c r="U81" s="22">
        <v>84.245000000000005</v>
      </c>
      <c r="V81" s="23">
        <f t="shared" si="107"/>
        <v>84.245000000000005</v>
      </c>
      <c r="W81" s="22">
        <v>86.712999999999994</v>
      </c>
      <c r="X81" s="22">
        <v>98.775000000000006</v>
      </c>
      <c r="Y81" s="22">
        <v>101.607</v>
      </c>
      <c r="Z81" s="22">
        <v>135.39400000000001</v>
      </c>
      <c r="AA81" s="23">
        <f t="shared" si="108"/>
        <v>135.39400000000001</v>
      </c>
      <c r="AB81" s="22">
        <v>130.69900000000001</v>
      </c>
      <c r="AC81" s="22">
        <v>129.697</v>
      </c>
      <c r="AD81" s="22">
        <v>151.518</v>
      </c>
      <c r="AE81" s="22">
        <v>153.91900000000001</v>
      </c>
      <c r="AF81" s="23">
        <f t="shared" si="109"/>
        <v>153.91900000000001</v>
      </c>
      <c r="AG81" s="22">
        <v>160.91399999999999</v>
      </c>
      <c r="AH81" s="167"/>
      <c r="AI81" s="167"/>
      <c r="AJ81" s="167"/>
      <c r="AK81" s="168"/>
      <c r="AL81" s="168"/>
      <c r="AM81" s="168"/>
      <c r="AN81" s="168"/>
      <c r="AO81" s="168"/>
      <c r="AP81" s="168"/>
      <c r="AQ81" s="168"/>
      <c r="AR81" s="168"/>
      <c r="AS81" s="168"/>
      <c r="AT81" s="168"/>
      <c r="AU81" s="8" t="s">
        <v>29</v>
      </c>
    </row>
    <row r="82" spans="1:47" ht="16.2" customHeight="1" x14ac:dyDescent="0.3">
      <c r="B82" s="24" t="s">
        <v>85</v>
      </c>
      <c r="C82" s="22">
        <v>22.1</v>
      </c>
      <c r="D82" s="22">
        <v>21.459</v>
      </c>
      <c r="E82" s="22">
        <v>22.023</v>
      </c>
      <c r="F82" s="22">
        <v>11.244999999999999</v>
      </c>
      <c r="G82" s="23">
        <f t="shared" si="104"/>
        <v>11.244999999999999</v>
      </c>
      <c r="H82" s="22">
        <v>10.742000000000001</v>
      </c>
      <c r="I82" s="22">
        <v>11.073</v>
      </c>
      <c r="J82" s="22">
        <v>10.942</v>
      </c>
      <c r="K82" s="22">
        <v>10.489000000000001</v>
      </c>
      <c r="L82" s="23">
        <f t="shared" si="105"/>
        <v>10.489000000000001</v>
      </c>
      <c r="M82" s="22">
        <v>9.1159999999999997</v>
      </c>
      <c r="N82" s="22">
        <v>8.9570000000000007</v>
      </c>
      <c r="O82" s="22">
        <v>8.5180000000000007</v>
      </c>
      <c r="P82" s="22">
        <v>7.9089999999999998</v>
      </c>
      <c r="Q82" s="23">
        <f t="shared" si="106"/>
        <v>7.9089999999999998</v>
      </c>
      <c r="R82" s="22">
        <v>7.6790000000000003</v>
      </c>
      <c r="S82" s="22">
        <v>7.4340000000000002</v>
      </c>
      <c r="T82" s="22">
        <v>6.8730000000000002</v>
      </c>
      <c r="U82" s="22">
        <v>6.2060000000000004</v>
      </c>
      <c r="V82" s="23">
        <f t="shared" si="107"/>
        <v>6.2060000000000004</v>
      </c>
      <c r="W82" s="22">
        <v>5.6289999999999996</v>
      </c>
      <c r="X82" s="22">
        <v>4.9630000000000001</v>
      </c>
      <c r="Y82" s="22">
        <v>4.7439999999999998</v>
      </c>
      <c r="Z82" s="22">
        <v>4.54</v>
      </c>
      <c r="AA82" s="23">
        <f t="shared" si="108"/>
        <v>4.54</v>
      </c>
      <c r="AB82" s="22">
        <v>4.34</v>
      </c>
      <c r="AC82" s="22">
        <v>4.1619999999999999</v>
      </c>
      <c r="AD82" s="22">
        <v>3.8769999999999998</v>
      </c>
      <c r="AE82" s="22">
        <v>4.1710000000000003</v>
      </c>
      <c r="AF82" s="23">
        <f t="shared" si="109"/>
        <v>4.1710000000000003</v>
      </c>
      <c r="AG82" s="22">
        <v>4.2039999999999997</v>
      </c>
      <c r="AH82" s="31">
        <f>AG82</f>
        <v>4.2039999999999997</v>
      </c>
      <c r="AI82" s="31">
        <f t="shared" ref="AI82:AJ82" si="132">AH82</f>
        <v>4.2039999999999997</v>
      </c>
      <c r="AJ82" s="31">
        <f t="shared" si="132"/>
        <v>4.2039999999999997</v>
      </c>
      <c r="AK82" s="23">
        <f>AJ82</f>
        <v>4.2039999999999997</v>
      </c>
      <c r="AL82" s="32">
        <f>AK82</f>
        <v>4.2039999999999997</v>
      </c>
      <c r="AM82" s="32">
        <f>AL82</f>
        <v>4.2039999999999997</v>
      </c>
      <c r="AN82" s="32">
        <f t="shared" ref="AN82:AT82" si="133">AM82</f>
        <v>4.2039999999999997</v>
      </c>
      <c r="AO82" s="32">
        <f t="shared" si="133"/>
        <v>4.2039999999999997</v>
      </c>
      <c r="AP82" s="32">
        <f t="shared" si="133"/>
        <v>4.2039999999999997</v>
      </c>
      <c r="AQ82" s="32">
        <f t="shared" si="133"/>
        <v>4.2039999999999997</v>
      </c>
      <c r="AR82" s="32">
        <f t="shared" si="133"/>
        <v>4.2039999999999997</v>
      </c>
      <c r="AS82" s="32">
        <f t="shared" si="133"/>
        <v>4.2039999999999997</v>
      </c>
      <c r="AT82" s="32">
        <f t="shared" si="133"/>
        <v>4.2039999999999997</v>
      </c>
      <c r="AU82" s="8" t="s">
        <v>29</v>
      </c>
    </row>
    <row r="83" spans="1:47" ht="16.2" customHeight="1" x14ac:dyDescent="0.3">
      <c r="B83" s="30" t="s">
        <v>86</v>
      </c>
      <c r="C83" s="28">
        <v>11.823</v>
      </c>
      <c r="D83" s="28">
        <v>20.094000000000001</v>
      </c>
      <c r="E83" s="28">
        <v>27.260999999999999</v>
      </c>
      <c r="F83" s="28">
        <v>201.642</v>
      </c>
      <c r="G83" s="29">
        <f t="shared" si="104"/>
        <v>201.642</v>
      </c>
      <c r="H83" s="28">
        <v>208.87</v>
      </c>
      <c r="I83" s="28">
        <v>222.24799999999999</v>
      </c>
      <c r="J83" s="28">
        <v>245.57499999999999</v>
      </c>
      <c r="K83" s="28">
        <v>267.80700000000002</v>
      </c>
      <c r="L83" s="29">
        <f t="shared" si="105"/>
        <v>267.80700000000002</v>
      </c>
      <c r="M83" s="28">
        <v>287.78100000000001</v>
      </c>
      <c r="N83" s="28">
        <v>305.05500000000001</v>
      </c>
      <c r="O83" s="28">
        <v>317.93799999999999</v>
      </c>
      <c r="P83" s="28">
        <v>328.32799999999997</v>
      </c>
      <c r="Q83" s="29">
        <f t="shared" si="106"/>
        <v>328.32799999999997</v>
      </c>
      <c r="R83" s="28">
        <v>348.23700000000002</v>
      </c>
      <c r="S83" s="28">
        <v>369.58499999999998</v>
      </c>
      <c r="T83" s="28">
        <v>390.90499999999997</v>
      </c>
      <c r="U83" s="28">
        <v>413.63299999999998</v>
      </c>
      <c r="V83" s="29">
        <f t="shared" si="107"/>
        <v>413.63299999999998</v>
      </c>
      <c r="W83" s="28">
        <v>434.79399999999998</v>
      </c>
      <c r="X83" s="28">
        <v>448.04599999999999</v>
      </c>
      <c r="Y83" s="28">
        <v>453.57299999999998</v>
      </c>
      <c r="Z83" s="28">
        <v>472.80900000000003</v>
      </c>
      <c r="AA83" s="29">
        <f t="shared" si="108"/>
        <v>472.80900000000003</v>
      </c>
      <c r="AB83" s="28">
        <v>484.02100000000002</v>
      </c>
      <c r="AC83" s="28">
        <v>512.23099999999999</v>
      </c>
      <c r="AD83" s="28">
        <v>531.61900000000003</v>
      </c>
      <c r="AE83" s="28">
        <v>566.93499999999995</v>
      </c>
      <c r="AF83" s="29">
        <f t="shared" si="109"/>
        <v>566.93499999999995</v>
      </c>
      <c r="AG83" s="28">
        <v>591.46900000000005</v>
      </c>
      <c r="AH83" s="28">
        <f ca="1">SUM(AH84:AH85)</f>
        <v>606.6508020727448</v>
      </c>
      <c r="AI83" s="28">
        <f t="shared" ref="AI83:AJ83" ca="1" si="134">SUM(AI84:AI85)</f>
        <v>615.58049817365031</v>
      </c>
      <c r="AJ83" s="28">
        <f t="shared" ca="1" si="134"/>
        <v>677.9841015027074</v>
      </c>
      <c r="AK83" s="29">
        <f ca="1">AJ83</f>
        <v>677.9841015027074</v>
      </c>
      <c r="AL83" s="29">
        <f ca="1">SUM(AL84:AL85)</f>
        <v>783.79966526130795</v>
      </c>
      <c r="AM83" s="29">
        <f ca="1">SUM(AM84:AM85)</f>
        <v>899.31080425852258</v>
      </c>
      <c r="AN83" s="29">
        <f t="shared" ref="AN83:AT83" ca="1" si="135">SUM(AN84:AN85)</f>
        <v>1022.9340693829911</v>
      </c>
      <c r="AO83" s="29">
        <f t="shared" ca="1" si="135"/>
        <v>1155.3420786526149</v>
      </c>
      <c r="AP83" s="29">
        <f t="shared" ca="1" si="135"/>
        <v>1297.2168378742062</v>
      </c>
      <c r="AQ83" s="29">
        <f t="shared" ca="1" si="135"/>
        <v>1449.2565794171801</v>
      </c>
      <c r="AR83" s="29">
        <f t="shared" ca="1" si="135"/>
        <v>1612.1815111631313</v>
      </c>
      <c r="AS83" s="29">
        <f t="shared" ca="1" si="135"/>
        <v>1786.7387798369459</v>
      </c>
      <c r="AT83" s="29">
        <f t="shared" ca="1" si="135"/>
        <v>1973.7068731688216</v>
      </c>
      <c r="AU83" s="8" t="s">
        <v>29</v>
      </c>
    </row>
    <row r="84" spans="1:47" ht="16.2" customHeight="1" x14ac:dyDescent="0.3">
      <c r="B84" s="24" t="s">
        <v>87</v>
      </c>
      <c r="C84" s="22">
        <f t="shared" ref="C84:AG84" si="136">(C83-C85)</f>
        <v>11.823</v>
      </c>
      <c r="D84" s="22">
        <f t="shared" si="136"/>
        <v>20.094000000000001</v>
      </c>
      <c r="E84" s="22">
        <f t="shared" si="136"/>
        <v>27.260999999999999</v>
      </c>
      <c r="F84" s="22">
        <f t="shared" si="136"/>
        <v>201.642</v>
      </c>
      <c r="G84" s="23">
        <f t="shared" si="104"/>
        <v>201.642</v>
      </c>
      <c r="H84" s="22">
        <f t="shared" si="136"/>
        <v>208.87</v>
      </c>
      <c r="I84" s="22">
        <f t="shared" si="136"/>
        <v>222.24799999999999</v>
      </c>
      <c r="J84" s="22">
        <f t="shared" si="136"/>
        <v>245.57499999999999</v>
      </c>
      <c r="K84" s="22">
        <f t="shared" si="136"/>
        <v>267.80700000000002</v>
      </c>
      <c r="L84" s="23">
        <f t="shared" si="105"/>
        <v>267.80700000000002</v>
      </c>
      <c r="M84" s="22">
        <f t="shared" si="136"/>
        <v>287.78100000000001</v>
      </c>
      <c r="N84" s="22">
        <f t="shared" si="136"/>
        <v>305.05500000000001</v>
      </c>
      <c r="O84" s="22">
        <f t="shared" si="136"/>
        <v>317.93799999999999</v>
      </c>
      <c r="P84" s="22">
        <f t="shared" si="136"/>
        <v>328.32799999999997</v>
      </c>
      <c r="Q84" s="23">
        <f t="shared" si="106"/>
        <v>328.32799999999997</v>
      </c>
      <c r="R84" s="22">
        <f t="shared" si="136"/>
        <v>348.23700000000002</v>
      </c>
      <c r="S84" s="22">
        <f t="shared" si="136"/>
        <v>369.58499999999998</v>
      </c>
      <c r="T84" s="22">
        <f t="shared" si="136"/>
        <v>390.90499999999997</v>
      </c>
      <c r="U84" s="22">
        <f t="shared" si="136"/>
        <v>413.63299999999998</v>
      </c>
      <c r="V84" s="23">
        <f t="shared" si="107"/>
        <v>413.63299999999998</v>
      </c>
      <c r="W84" s="22">
        <f t="shared" si="136"/>
        <v>434.79399999999998</v>
      </c>
      <c r="X84" s="22">
        <f t="shared" si="136"/>
        <v>448.04599999999999</v>
      </c>
      <c r="Y84" s="22">
        <f t="shared" si="136"/>
        <v>453.57299999999998</v>
      </c>
      <c r="Z84" s="22">
        <f t="shared" si="136"/>
        <v>472.80900000000003</v>
      </c>
      <c r="AA84" s="23">
        <f t="shared" si="108"/>
        <v>472.80900000000003</v>
      </c>
      <c r="AB84" s="22">
        <f t="shared" si="136"/>
        <v>484.02100000000002</v>
      </c>
      <c r="AC84" s="22">
        <f t="shared" si="136"/>
        <v>510.935</v>
      </c>
      <c r="AD84" s="22">
        <f t="shared" si="136"/>
        <v>530.27600000000007</v>
      </c>
      <c r="AE84" s="22">
        <f t="shared" si="136"/>
        <v>564.029</v>
      </c>
      <c r="AF84" s="23">
        <f t="shared" si="109"/>
        <v>564.029</v>
      </c>
      <c r="AG84" s="22">
        <f t="shared" si="136"/>
        <v>588.42700000000002</v>
      </c>
      <c r="AH84" s="33">
        <f ca="1">AG84+AH46+AH101</f>
        <v>603.60880207274477</v>
      </c>
      <c r="AI84" s="33">
        <f t="shared" ref="AI84:AJ84" ca="1" si="137">AH84+AI46+AI101</f>
        <v>612.53849817365028</v>
      </c>
      <c r="AJ84" s="33">
        <f t="shared" ca="1" si="137"/>
        <v>674.94210150270737</v>
      </c>
      <c r="AK84" s="34">
        <f ca="1">AJ84</f>
        <v>674.94210150270737</v>
      </c>
      <c r="AL84" s="34">
        <f ca="1">AK84+AL46+AL101</f>
        <v>780.75766526130792</v>
      </c>
      <c r="AM84" s="34">
        <f ca="1">AL84+AM46+AM101</f>
        <v>896.26880425852255</v>
      </c>
      <c r="AN84" s="34">
        <f t="shared" ref="AN84:AT84" ca="1" si="138">AM84+AN46+AN101</f>
        <v>1019.8920693829911</v>
      </c>
      <c r="AO84" s="34">
        <f t="shared" ca="1" si="138"/>
        <v>1152.300078652615</v>
      </c>
      <c r="AP84" s="34">
        <f t="shared" ca="1" si="138"/>
        <v>1294.1748378742063</v>
      </c>
      <c r="AQ84" s="34">
        <f t="shared" ca="1" si="138"/>
        <v>1446.2145794171802</v>
      </c>
      <c r="AR84" s="34">
        <f t="shared" ca="1" si="138"/>
        <v>1609.1395111631314</v>
      </c>
      <c r="AS84" s="34">
        <f t="shared" ca="1" si="138"/>
        <v>1783.696779836946</v>
      </c>
      <c r="AT84" s="34">
        <f t="shared" ca="1" si="138"/>
        <v>1970.6648731688217</v>
      </c>
      <c r="AU84" s="8" t="s">
        <v>29</v>
      </c>
    </row>
    <row r="85" spans="1:47" ht="16.2" customHeight="1" x14ac:dyDescent="0.3">
      <c r="B85" s="24" t="s">
        <v>88</v>
      </c>
      <c r="C85" s="22">
        <v>0</v>
      </c>
      <c r="D85" s="22">
        <v>0</v>
      </c>
      <c r="E85" s="22">
        <v>0</v>
      </c>
      <c r="F85" s="22">
        <v>0</v>
      </c>
      <c r="G85" s="23">
        <f t="shared" si="104"/>
        <v>0</v>
      </c>
      <c r="H85" s="22">
        <v>0</v>
      </c>
      <c r="I85" s="22">
        <v>0</v>
      </c>
      <c r="J85" s="22">
        <v>0</v>
      </c>
      <c r="K85" s="22">
        <v>0</v>
      </c>
      <c r="L85" s="23">
        <f t="shared" si="105"/>
        <v>0</v>
      </c>
      <c r="M85" s="22">
        <v>0</v>
      </c>
      <c r="N85" s="22">
        <v>0</v>
      </c>
      <c r="O85" s="22">
        <v>0</v>
      </c>
      <c r="P85" s="22">
        <v>0</v>
      </c>
      <c r="Q85" s="23">
        <f t="shared" si="106"/>
        <v>0</v>
      </c>
      <c r="R85" s="22">
        <v>0</v>
      </c>
      <c r="S85" s="22">
        <v>0</v>
      </c>
      <c r="T85" s="22">
        <v>0</v>
      </c>
      <c r="U85" s="22">
        <v>0</v>
      </c>
      <c r="V85" s="23">
        <f t="shared" si="107"/>
        <v>0</v>
      </c>
      <c r="W85" s="22">
        <v>0</v>
      </c>
      <c r="X85" s="22">
        <v>0</v>
      </c>
      <c r="Y85" s="22">
        <v>0</v>
      </c>
      <c r="Z85" s="22">
        <v>0</v>
      </c>
      <c r="AA85" s="23">
        <f t="shared" si="108"/>
        <v>0</v>
      </c>
      <c r="AB85" s="22">
        <v>0</v>
      </c>
      <c r="AC85" s="22">
        <v>1.296</v>
      </c>
      <c r="AD85" s="22">
        <v>1.343</v>
      </c>
      <c r="AE85" s="22">
        <v>2.9060000000000001</v>
      </c>
      <c r="AF85" s="23">
        <f t="shared" si="109"/>
        <v>2.9060000000000001</v>
      </c>
      <c r="AG85" s="22">
        <v>3.0419999999999998</v>
      </c>
      <c r="AH85" s="31">
        <f>AG85</f>
        <v>3.0419999999999998</v>
      </c>
      <c r="AI85" s="31">
        <f t="shared" ref="AI85:AJ85" si="139">AH85</f>
        <v>3.0419999999999998</v>
      </c>
      <c r="AJ85" s="31">
        <f t="shared" si="139"/>
        <v>3.0419999999999998</v>
      </c>
      <c r="AK85" s="23">
        <f>AJ85</f>
        <v>3.0419999999999998</v>
      </c>
      <c r="AL85" s="32">
        <f>AK85</f>
        <v>3.0419999999999998</v>
      </c>
      <c r="AM85" s="32">
        <f>AL85</f>
        <v>3.0419999999999998</v>
      </c>
      <c r="AN85" s="32">
        <f t="shared" ref="AN85:AT85" si="140">AM85</f>
        <v>3.0419999999999998</v>
      </c>
      <c r="AO85" s="32">
        <f t="shared" si="140"/>
        <v>3.0419999999999998</v>
      </c>
      <c r="AP85" s="32">
        <f t="shared" si="140"/>
        <v>3.0419999999999998</v>
      </c>
      <c r="AQ85" s="32">
        <f t="shared" si="140"/>
        <v>3.0419999999999998</v>
      </c>
      <c r="AR85" s="32">
        <f t="shared" si="140"/>
        <v>3.0419999999999998</v>
      </c>
      <c r="AS85" s="32">
        <f t="shared" si="140"/>
        <v>3.0419999999999998</v>
      </c>
      <c r="AT85" s="32">
        <f t="shared" si="140"/>
        <v>3.0419999999999998</v>
      </c>
      <c r="AU85" s="8" t="s">
        <v>29</v>
      </c>
    </row>
    <row r="86" spans="1:47" ht="7.95" customHeight="1" x14ac:dyDescent="0.3">
      <c r="B86" s="35"/>
      <c r="G86" s="7"/>
      <c r="L86" s="7"/>
      <c r="Q86" s="7"/>
      <c r="V86" s="7"/>
      <c r="AA86" s="7"/>
      <c r="AF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8" t="s">
        <v>29</v>
      </c>
    </row>
    <row r="87" spans="1:47" ht="16.2" customHeight="1" x14ac:dyDescent="0.3">
      <c r="B87" s="36" t="s">
        <v>89</v>
      </c>
      <c r="C87" s="37" t="str">
        <f t="shared" ref="C87:AJ87" si="141">IF(ABS(C52-C68)&gt;0.1,"Erro","Ok")</f>
        <v>Ok</v>
      </c>
      <c r="D87" s="37" t="str">
        <f t="shared" si="141"/>
        <v>Ok</v>
      </c>
      <c r="E87" s="37" t="str">
        <f t="shared" si="141"/>
        <v>Ok</v>
      </c>
      <c r="F87" s="37" t="str">
        <f t="shared" si="141"/>
        <v>Ok</v>
      </c>
      <c r="G87" s="38" t="str">
        <f>IF(ABS(G52-G68)&gt;0.1,"Erro","Ok")</f>
        <v>Ok</v>
      </c>
      <c r="H87" s="37" t="str">
        <f t="shared" si="141"/>
        <v>Ok</v>
      </c>
      <c r="I87" s="37" t="str">
        <f t="shared" si="141"/>
        <v>Ok</v>
      </c>
      <c r="J87" s="37" t="str">
        <f t="shared" si="141"/>
        <v>Ok</v>
      </c>
      <c r="K87" s="37" t="str">
        <f t="shared" si="141"/>
        <v>Ok</v>
      </c>
      <c r="L87" s="38" t="str">
        <f>IF(ABS(L52-L68)&gt;0.1,"Erro","Ok")</f>
        <v>Ok</v>
      </c>
      <c r="M87" s="37" t="str">
        <f t="shared" si="141"/>
        <v>Ok</v>
      </c>
      <c r="N87" s="37" t="str">
        <f t="shared" si="141"/>
        <v>Ok</v>
      </c>
      <c r="O87" s="37" t="str">
        <f t="shared" si="141"/>
        <v>Ok</v>
      </c>
      <c r="P87" s="37" t="str">
        <f t="shared" si="141"/>
        <v>Ok</v>
      </c>
      <c r="Q87" s="38" t="str">
        <f>IF(ABS(Q52-Q68)&gt;0.1,"Erro","Ok")</f>
        <v>Ok</v>
      </c>
      <c r="R87" s="37" t="str">
        <f t="shared" si="141"/>
        <v>Ok</v>
      </c>
      <c r="S87" s="37" t="str">
        <f t="shared" si="141"/>
        <v>Ok</v>
      </c>
      <c r="T87" s="37" t="str">
        <f t="shared" si="141"/>
        <v>Ok</v>
      </c>
      <c r="U87" s="37" t="str">
        <f t="shared" si="141"/>
        <v>Ok</v>
      </c>
      <c r="V87" s="38" t="str">
        <f>IF(ABS(V52-V68)&gt;0.1,"Erro","Ok")</f>
        <v>Ok</v>
      </c>
      <c r="W87" s="37" t="str">
        <f t="shared" si="141"/>
        <v>Ok</v>
      </c>
      <c r="X87" s="37" t="str">
        <f t="shared" si="141"/>
        <v>Ok</v>
      </c>
      <c r="Y87" s="37" t="str">
        <f t="shared" si="141"/>
        <v>Ok</v>
      </c>
      <c r="Z87" s="37" t="str">
        <f t="shared" si="141"/>
        <v>Ok</v>
      </c>
      <c r="AA87" s="38" t="str">
        <f>IF(ABS(AA52-AA68)&gt;0.1,"Erro","Ok")</f>
        <v>Ok</v>
      </c>
      <c r="AB87" s="37" t="str">
        <f t="shared" si="141"/>
        <v>Ok</v>
      </c>
      <c r="AC87" s="37" t="str">
        <f t="shared" si="141"/>
        <v>Ok</v>
      </c>
      <c r="AD87" s="37" t="str">
        <f t="shared" si="141"/>
        <v>Ok</v>
      </c>
      <c r="AE87" s="37" t="str">
        <f t="shared" si="141"/>
        <v>Ok</v>
      </c>
      <c r="AF87" s="38" t="str">
        <f>IF(ABS(AF52-AF68)&gt;0.1,"Erro","Ok")</f>
        <v>Ok</v>
      </c>
      <c r="AG87" s="37" t="str">
        <f t="shared" si="141"/>
        <v>Ok</v>
      </c>
      <c r="AH87" s="37" t="str">
        <f t="shared" ca="1" si="141"/>
        <v>Ok</v>
      </c>
      <c r="AI87" s="37" t="str">
        <f t="shared" ca="1" si="141"/>
        <v>Ok</v>
      </c>
      <c r="AJ87" s="37" t="str">
        <f t="shared" ca="1" si="141"/>
        <v>Ok</v>
      </c>
      <c r="AK87" s="38" t="str">
        <f ca="1">IF(ABS(AK52-AK68)&gt;0.1,"Erro","Ok")</f>
        <v>Ok</v>
      </c>
      <c r="AL87" s="38" t="str">
        <f ca="1">IF(ABS(AL52-AL68)&gt;0.1,"Erro","Ok")</f>
        <v>Ok</v>
      </c>
      <c r="AM87" s="38" t="str">
        <f ca="1">IF(ABS(AM52-AM68)&gt;0.1,"Erro","Ok")</f>
        <v>Ok</v>
      </c>
      <c r="AN87" s="38" t="str">
        <f t="shared" ref="AN87:AT87" ca="1" si="142">IF(ABS(AN52-AN68)&gt;0.1,"Erro","Ok")</f>
        <v>Ok</v>
      </c>
      <c r="AO87" s="38" t="str">
        <f t="shared" ca="1" si="142"/>
        <v>Ok</v>
      </c>
      <c r="AP87" s="38" t="str">
        <f t="shared" ca="1" si="142"/>
        <v>Ok</v>
      </c>
      <c r="AQ87" s="38" t="str">
        <f t="shared" ca="1" si="142"/>
        <v>Ok</v>
      </c>
      <c r="AR87" s="38" t="str">
        <f t="shared" ca="1" si="142"/>
        <v>Ok</v>
      </c>
      <c r="AS87" s="38" t="str">
        <f t="shared" ca="1" si="142"/>
        <v>Ok</v>
      </c>
      <c r="AT87" s="38" t="str">
        <f t="shared" ca="1" si="142"/>
        <v>Ok</v>
      </c>
      <c r="AU87" s="8" t="s">
        <v>29</v>
      </c>
    </row>
    <row r="88" spans="1:47" ht="7.95" customHeight="1" x14ac:dyDescent="0.3">
      <c r="G88" s="7"/>
      <c r="L88" s="7"/>
      <c r="Q88" s="7"/>
      <c r="V88" s="7"/>
      <c r="AA88" s="7"/>
      <c r="AF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8" t="s">
        <v>29</v>
      </c>
    </row>
    <row r="89" spans="1:47" ht="16.2" customHeight="1" x14ac:dyDescent="0.3">
      <c r="A89" s="9" t="s">
        <v>30</v>
      </c>
      <c r="B89" s="10" t="s">
        <v>90</v>
      </c>
      <c r="C89" s="11"/>
      <c r="D89" s="11"/>
      <c r="E89" s="11"/>
      <c r="F89" s="11"/>
      <c r="G89" s="12"/>
      <c r="H89" s="11"/>
      <c r="I89" s="11"/>
      <c r="J89" s="11"/>
      <c r="K89" s="11"/>
      <c r="L89" s="12"/>
      <c r="M89" s="11"/>
      <c r="N89" s="11"/>
      <c r="O89" s="11"/>
      <c r="P89" s="11"/>
      <c r="Q89" s="12"/>
      <c r="R89" s="11"/>
      <c r="S89" s="11"/>
      <c r="T89" s="11"/>
      <c r="U89" s="11"/>
      <c r="V89" s="12"/>
      <c r="W89" s="11"/>
      <c r="X89" s="11"/>
      <c r="Y89" s="11"/>
      <c r="Z89" s="11"/>
      <c r="AA89" s="12"/>
      <c r="AB89" s="11"/>
      <c r="AC89" s="11"/>
      <c r="AD89" s="11"/>
      <c r="AE89" s="11"/>
      <c r="AF89" s="12"/>
      <c r="AG89" s="11"/>
      <c r="AH89" s="39"/>
      <c r="AI89" s="39"/>
      <c r="AJ89" s="39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8" t="s">
        <v>29</v>
      </c>
    </row>
    <row r="90" spans="1:47" ht="7.95" customHeight="1" x14ac:dyDescent="0.3">
      <c r="G90" s="7"/>
      <c r="L90" s="7"/>
      <c r="Q90" s="7"/>
      <c r="V90" s="7"/>
      <c r="AA90" s="7"/>
      <c r="AF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8" t="s">
        <v>29</v>
      </c>
    </row>
    <row r="91" spans="1:47" ht="16.2" customHeight="1" x14ac:dyDescent="0.3">
      <c r="B91" s="5" t="s">
        <v>45</v>
      </c>
      <c r="C91" s="28"/>
      <c r="D91" s="28">
        <f t="shared" ref="D91:AJ91" si="143">D30</f>
        <v>1.0649999999999975</v>
      </c>
      <c r="E91" s="28">
        <f t="shared" si="143"/>
        <v>12.918000000000006</v>
      </c>
      <c r="F91" s="28">
        <f t="shared" si="143"/>
        <v>33.350690780528055</v>
      </c>
      <c r="G91" s="29">
        <f t="shared" ref="G91:G97" si="144">SUM(C91:F91)</f>
        <v>47.333690780528059</v>
      </c>
      <c r="H91" s="28">
        <f t="shared" si="143"/>
        <v>10.990000000000006</v>
      </c>
      <c r="I91" s="28">
        <f t="shared" si="143"/>
        <v>20.156045200000047</v>
      </c>
      <c r="J91" s="28">
        <f t="shared" si="143"/>
        <v>27.033328260062021</v>
      </c>
      <c r="K91" s="28">
        <f t="shared" si="143"/>
        <v>43.698563857099813</v>
      </c>
      <c r="L91" s="29">
        <f t="shared" ref="L91:L97" si="145">SUM(H91:K91)</f>
        <v>101.87793731716189</v>
      </c>
      <c r="M91" s="28">
        <f t="shared" si="143"/>
        <v>32.371795420000083</v>
      </c>
      <c r="N91" s="28">
        <f t="shared" si="143"/>
        <v>28.794748349999995</v>
      </c>
      <c r="O91" s="28">
        <f t="shared" si="143"/>
        <v>34.239047440475986</v>
      </c>
      <c r="P91" s="28">
        <f t="shared" si="143"/>
        <v>48.355521741922047</v>
      </c>
      <c r="Q91" s="29">
        <f t="shared" ref="Q91:Q97" si="146">SUM(M91:P91)</f>
        <v>143.76111295239809</v>
      </c>
      <c r="R91" s="28">
        <f t="shared" si="143"/>
        <v>37.778681529999986</v>
      </c>
      <c r="S91" s="28">
        <f t="shared" si="143"/>
        <v>40.870661380000179</v>
      </c>
      <c r="T91" s="28">
        <f t="shared" si="143"/>
        <v>41.280373460000007</v>
      </c>
      <c r="U91" s="28">
        <f t="shared" si="143"/>
        <v>53.800623749999858</v>
      </c>
      <c r="V91" s="29">
        <f t="shared" ref="V91:V97" si="147">SUM(R91:U91)</f>
        <v>173.73034012000005</v>
      </c>
      <c r="W91" s="28">
        <f t="shared" si="143"/>
        <v>41.41330953999995</v>
      </c>
      <c r="X91" s="28">
        <f t="shared" si="143"/>
        <v>43.841000000000022</v>
      </c>
      <c r="Y91" s="28">
        <f t="shared" si="143"/>
        <v>45.007061030000003</v>
      </c>
      <c r="Z91" s="28">
        <f t="shared" si="143"/>
        <v>65.964073489999947</v>
      </c>
      <c r="AA91" s="29">
        <f t="shared" ref="AA91:AA97" si="148">SUM(W91:Z91)</f>
        <v>196.22544405999994</v>
      </c>
      <c r="AB91" s="28">
        <f t="shared" si="143"/>
        <v>58.58661274354494</v>
      </c>
      <c r="AC91" s="28">
        <f t="shared" si="143"/>
        <v>58.298000000000023</v>
      </c>
      <c r="AD91" s="28">
        <f t="shared" si="143"/>
        <v>56.872655593434985</v>
      </c>
      <c r="AE91" s="28">
        <f t="shared" si="143"/>
        <v>75.655999999999977</v>
      </c>
      <c r="AF91" s="29">
        <f t="shared" ref="AF91:AF97" si="149">SUM(AB91:AE91)</f>
        <v>249.41326833697994</v>
      </c>
      <c r="AG91" s="28">
        <f t="shared" si="143"/>
        <v>63.789999999999978</v>
      </c>
      <c r="AH91" s="28">
        <f t="shared" si="143"/>
        <v>66.826230717917426</v>
      </c>
      <c r="AI91" s="28">
        <f t="shared" si="143"/>
        <v>71.246049628068221</v>
      </c>
      <c r="AJ91" s="28">
        <f t="shared" si="143"/>
        <v>96.079554647092834</v>
      </c>
      <c r="AK91" s="29">
        <f t="shared" ref="AK91:AK97" si="150">SUM(AG91:AJ91)</f>
        <v>297.94183499307849</v>
      </c>
      <c r="AL91" s="29">
        <f>AL30</f>
        <v>353.14298769896124</v>
      </c>
      <c r="AM91" s="29">
        <f>AM30</f>
        <v>416.63398250665597</v>
      </c>
      <c r="AN91" s="29">
        <f t="shared" ref="AN91:AT91" si="151">AN30</f>
        <v>487.75857111594081</v>
      </c>
      <c r="AO91" s="29">
        <f t="shared" si="151"/>
        <v>567.20042289782316</v>
      </c>
      <c r="AP91" s="29">
        <f t="shared" si="151"/>
        <v>655.69481647517171</v>
      </c>
      <c r="AQ91" s="29">
        <f t="shared" si="151"/>
        <v>754.03213919401787</v>
      </c>
      <c r="AR91" s="29">
        <f t="shared" si="151"/>
        <v>863.06160771623945</v>
      </c>
      <c r="AS91" s="29">
        <f t="shared" si="151"/>
        <v>983.69522308158821</v>
      </c>
      <c r="AT91" s="29">
        <f t="shared" si="151"/>
        <v>1116.9119743724398</v>
      </c>
      <c r="AU91" s="8" t="s">
        <v>29</v>
      </c>
    </row>
    <row r="92" spans="1:47" ht="16.2" customHeight="1" x14ac:dyDescent="0.3">
      <c r="B92" s="20" t="s">
        <v>91</v>
      </c>
      <c r="C92" s="22"/>
      <c r="D92" s="22">
        <f>D38</f>
        <v>-0.9</v>
      </c>
      <c r="E92" s="22">
        <f t="shared" ref="E92:AJ92" si="152">E38</f>
        <v>-0.71699999999999997</v>
      </c>
      <c r="F92" s="22">
        <f t="shared" si="152"/>
        <v>-2.3635137524000007</v>
      </c>
      <c r="G92" s="23">
        <f t="shared" si="144"/>
        <v>-3.9805137524000007</v>
      </c>
      <c r="H92" s="22">
        <f t="shared" si="152"/>
        <v>1.0999999999999999E-2</v>
      </c>
      <c r="I92" s="22">
        <f t="shared" si="152"/>
        <v>-1.077</v>
      </c>
      <c r="J92" s="22">
        <f t="shared" si="152"/>
        <v>-0.84942960899999964</v>
      </c>
      <c r="K92" s="22">
        <f t="shared" si="152"/>
        <v>0.27859705700000098</v>
      </c>
      <c r="L92" s="23">
        <f t="shared" si="145"/>
        <v>-1.6368325519999989</v>
      </c>
      <c r="M92" s="22">
        <f t="shared" si="152"/>
        <v>-1.2259986699999998</v>
      </c>
      <c r="N92" s="22">
        <f t="shared" si="152"/>
        <v>-0.79800000000000004</v>
      </c>
      <c r="O92" s="22">
        <f t="shared" si="152"/>
        <v>-1.1429935117999999</v>
      </c>
      <c r="P92" s="22">
        <f t="shared" si="152"/>
        <v>-1.6297331600000011</v>
      </c>
      <c r="Q92" s="23">
        <f t="shared" si="146"/>
        <v>-4.7967253418000011</v>
      </c>
      <c r="R92" s="22">
        <f t="shared" si="152"/>
        <v>-2.66</v>
      </c>
      <c r="S92" s="22">
        <f t="shared" si="152"/>
        <v>-2.8809999999999998</v>
      </c>
      <c r="T92" s="22">
        <f t="shared" si="152"/>
        <v>-3.0510000000000002</v>
      </c>
      <c r="U92" s="22">
        <f t="shared" si="152"/>
        <v>-3.1921326004999999</v>
      </c>
      <c r="V92" s="23">
        <f t="shared" si="147"/>
        <v>-11.784132600500001</v>
      </c>
      <c r="W92" s="22">
        <f t="shared" si="152"/>
        <v>-3.5339999999999998</v>
      </c>
      <c r="X92" s="22">
        <f t="shared" si="152"/>
        <v>-3.9369999999999998</v>
      </c>
      <c r="Y92" s="22">
        <f t="shared" si="152"/>
        <v>-5.3289999999999997</v>
      </c>
      <c r="Z92" s="22">
        <f t="shared" si="152"/>
        <v>-3.9657310029999988</v>
      </c>
      <c r="AA92" s="23">
        <f t="shared" si="148"/>
        <v>-16.765731002999999</v>
      </c>
      <c r="AB92" s="22">
        <f t="shared" si="152"/>
        <v>-7.6849999999999996</v>
      </c>
      <c r="AC92" s="22">
        <f t="shared" si="152"/>
        <v>-6.9450000000000003</v>
      </c>
      <c r="AD92" s="22">
        <f t="shared" si="152"/>
        <v>-8.5344265364999998</v>
      </c>
      <c r="AE92" s="22">
        <f t="shared" si="152"/>
        <v>-9.5120000000000005</v>
      </c>
      <c r="AF92" s="23">
        <f t="shared" si="149"/>
        <v>-32.676426536500003</v>
      </c>
      <c r="AG92" s="22">
        <f t="shared" si="152"/>
        <v>-10.438000000000001</v>
      </c>
      <c r="AH92" s="22">
        <f t="shared" si="152"/>
        <v>-8.6196585552480602</v>
      </c>
      <c r="AI92" s="22">
        <f t="shared" ca="1" si="152"/>
        <v>-9.2383244760777927</v>
      </c>
      <c r="AJ92" s="22">
        <f t="shared" ca="1" si="152"/>
        <v>-11.465266171256753</v>
      </c>
      <c r="AK92" s="23">
        <f t="shared" ca="1" si="150"/>
        <v>-39.761249202582604</v>
      </c>
      <c r="AL92" s="23">
        <f ca="1">AL38</f>
        <v>-46.131487046404573</v>
      </c>
      <c r="AM92" s="23">
        <f ca="1">AM38</f>
        <v>-52.682327838845865</v>
      </c>
      <c r="AN92" s="23">
        <f t="shared" ref="AN92:AT92" ca="1" si="153">AN38</f>
        <v>-57.280853370851858</v>
      </c>
      <c r="AO92" s="23">
        <f t="shared" ca="1" si="153"/>
        <v>-61.873278754972944</v>
      </c>
      <c r="AP92" s="23">
        <f t="shared" ca="1" si="153"/>
        <v>-66.429597595994167</v>
      </c>
      <c r="AQ92" s="23">
        <f t="shared" ca="1" si="153"/>
        <v>-70.915934473477904</v>
      </c>
      <c r="AR92" s="23">
        <f t="shared" ca="1" si="153"/>
        <v>-75.294189176350613</v>
      </c>
      <c r="AS92" s="23">
        <f t="shared" ca="1" si="153"/>
        <v>-79.521652862739742</v>
      </c>
      <c r="AT92" s="23">
        <f t="shared" ca="1" si="153"/>
        <v>-83.550594119989626</v>
      </c>
      <c r="AU92" s="8" t="s">
        <v>29</v>
      </c>
    </row>
    <row r="93" spans="1:47" ht="16.2" customHeight="1" x14ac:dyDescent="0.3">
      <c r="B93" s="20" t="s">
        <v>53</v>
      </c>
      <c r="C93" s="22"/>
      <c r="D93" s="22">
        <f>D43</f>
        <v>1.284</v>
      </c>
      <c r="E93" s="22">
        <f t="shared" ref="E93:AJ93" si="154">E43</f>
        <v>-2.5430000000000001</v>
      </c>
      <c r="F93" s="22">
        <f t="shared" si="154"/>
        <v>-7.4551602200000007</v>
      </c>
      <c r="G93" s="23">
        <f t="shared" si="144"/>
        <v>-8.7141602200000001</v>
      </c>
      <c r="H93" s="22">
        <f t="shared" si="154"/>
        <v>-1.333</v>
      </c>
      <c r="I93" s="22">
        <f t="shared" si="154"/>
        <v>-3.2709999999999999</v>
      </c>
      <c r="J93" s="22">
        <f t="shared" si="154"/>
        <v>-1.3892769399999993</v>
      </c>
      <c r="K93" s="22">
        <f t="shared" si="154"/>
        <v>-5.5921097700000013</v>
      </c>
      <c r="L93" s="23">
        <f t="shared" si="145"/>
        <v>-11.585386710000002</v>
      </c>
      <c r="M93" s="22">
        <f t="shared" si="154"/>
        <v>-7.1686303200000001</v>
      </c>
      <c r="N93" s="22">
        <f t="shared" si="154"/>
        <v>-6.4189999999999996</v>
      </c>
      <c r="O93" s="22">
        <f t="shared" si="154"/>
        <v>-3.9200336600000019</v>
      </c>
      <c r="P93" s="22">
        <f t="shared" si="154"/>
        <v>-6.4530000000000003</v>
      </c>
      <c r="Q93" s="23">
        <f t="shared" si="146"/>
        <v>-23.96066398</v>
      </c>
      <c r="R93" s="22">
        <f t="shared" si="154"/>
        <v>-4.21422176</v>
      </c>
      <c r="S93" s="22">
        <f t="shared" si="154"/>
        <v>-4.9660000000000002</v>
      </c>
      <c r="T93" s="22">
        <f t="shared" si="154"/>
        <v>-4.6909999999999998</v>
      </c>
      <c r="U93" s="22">
        <f t="shared" si="154"/>
        <v>-8.6479999999999997</v>
      </c>
      <c r="V93" s="23">
        <f t="shared" si="147"/>
        <v>-22.519221760000001</v>
      </c>
      <c r="W93" s="22">
        <f t="shared" si="154"/>
        <v>-4.3959999999999999</v>
      </c>
      <c r="X93" s="22">
        <f t="shared" si="154"/>
        <v>-5.7229999999999999</v>
      </c>
      <c r="Y93" s="22">
        <f t="shared" si="154"/>
        <v>-6.8996779899999998</v>
      </c>
      <c r="Z93" s="22">
        <f t="shared" si="154"/>
        <v>-12.667999999999999</v>
      </c>
      <c r="AA93" s="23">
        <f t="shared" si="148"/>
        <v>-29.68667799</v>
      </c>
      <c r="AB93" s="22">
        <f t="shared" si="154"/>
        <v>-7.8449999999999998</v>
      </c>
      <c r="AC93" s="22">
        <f t="shared" si="154"/>
        <v>-8.1630000000000003</v>
      </c>
      <c r="AD93" s="22">
        <f t="shared" si="154"/>
        <v>-9.016</v>
      </c>
      <c r="AE93" s="22">
        <f t="shared" si="154"/>
        <v>-12.436</v>
      </c>
      <c r="AF93" s="23">
        <f t="shared" si="149"/>
        <v>-37.46</v>
      </c>
      <c r="AG93" s="22">
        <f t="shared" si="154"/>
        <v>-9.0009999999999994</v>
      </c>
      <c r="AH93" s="22">
        <f t="shared" si="154"/>
        <v>-13.322946442497047</v>
      </c>
      <c r="AI93" s="22">
        <f t="shared" ca="1" si="154"/>
        <v>-3.4036637107110703</v>
      </c>
      <c r="AJ93" s="22">
        <f t="shared" ca="1" si="154"/>
        <v>-9.8485019544218542</v>
      </c>
      <c r="AK93" s="23">
        <f t="shared" ca="1" si="150"/>
        <v>-35.576112107629974</v>
      </c>
      <c r="AL93" s="23">
        <f ca="1">AL43</f>
        <v>-51.966339266901464</v>
      </c>
      <c r="AM93" s="23">
        <f ca="1">AM43</f>
        <v>-36.359146995488587</v>
      </c>
      <c r="AN93" s="23">
        <f t="shared" ref="AN93:AT93" ca="1" si="155">AN43</f>
        <v>-44.856218840479229</v>
      </c>
      <c r="AO93" s="23">
        <f t="shared" ca="1" si="155"/>
        <v>-54.910463048396196</v>
      </c>
      <c r="AP93" s="23">
        <f t="shared" ca="1" si="155"/>
        <v>-66.86584982723754</v>
      </c>
      <c r="AQ93" s="23">
        <f t="shared" ca="1" si="155"/>
        <v>-80.898468986021498</v>
      </c>
      <c r="AR93" s="23">
        <f t="shared" ca="1" si="155"/>
        <v>-97.203271826397668</v>
      </c>
      <c r="AS93" s="23">
        <f t="shared" ca="1" si="155"/>
        <v>-115.99451165293949</v>
      </c>
      <c r="AT93" s="23">
        <f t="shared" ca="1" si="155"/>
        <v>-137.50642521638591</v>
      </c>
      <c r="AU93" s="8" t="s">
        <v>29</v>
      </c>
    </row>
    <row r="94" spans="1:47" ht="16.2" customHeight="1" x14ac:dyDescent="0.3">
      <c r="B94" s="20" t="s">
        <v>315</v>
      </c>
      <c r="D94" s="22">
        <f>-(D287-C287)</f>
        <v>-17.992999999999995</v>
      </c>
      <c r="E94" s="22">
        <f t="shared" ref="E94:AJ94" si="156">-(E287-D287)</f>
        <v>-18.77500000000002</v>
      </c>
      <c r="F94" s="22">
        <f t="shared" si="156"/>
        <v>-40.547799999999995</v>
      </c>
      <c r="G94" s="23">
        <f t="shared" si="144"/>
        <v>-77.31580000000001</v>
      </c>
      <c r="H94" s="22">
        <f>-(H287-F287)</f>
        <v>5.0692666223999936</v>
      </c>
      <c r="I94" s="22">
        <f t="shared" si="156"/>
        <v>-33.928354860000013</v>
      </c>
      <c r="J94" s="22">
        <f t="shared" si="156"/>
        <v>-27.925594859999961</v>
      </c>
      <c r="K94" s="22">
        <f t="shared" si="156"/>
        <v>-31.548003940000058</v>
      </c>
      <c r="L94" s="23">
        <f t="shared" si="145"/>
        <v>-88.332687037600039</v>
      </c>
      <c r="M94" s="22">
        <f>-(M287-K287)</f>
        <v>-1.13615274</v>
      </c>
      <c r="N94" s="22">
        <f t="shared" si="156"/>
        <v>-10.357274139999987</v>
      </c>
      <c r="O94" s="22">
        <f t="shared" si="156"/>
        <v>-23.271285479999989</v>
      </c>
      <c r="P94" s="22">
        <f t="shared" si="156"/>
        <v>-25.339296399999967</v>
      </c>
      <c r="Q94" s="23">
        <f t="shared" si="146"/>
        <v>-60.104008759999942</v>
      </c>
      <c r="R94" s="22">
        <f>-(R287-P287)</f>
        <v>5.1485152800000265</v>
      </c>
      <c r="S94" s="22">
        <f t="shared" si="156"/>
        <v>-22.142153619999988</v>
      </c>
      <c r="T94" s="22">
        <f t="shared" si="156"/>
        <v>-16.448925000000031</v>
      </c>
      <c r="U94" s="22">
        <f t="shared" si="156"/>
        <v>-34.867161870000018</v>
      </c>
      <c r="V94" s="23">
        <f t="shared" si="147"/>
        <v>-68.309725210000011</v>
      </c>
      <c r="W94" s="22">
        <f>-(W287-U287)</f>
        <v>28.812795679999965</v>
      </c>
      <c r="X94" s="22">
        <f t="shared" si="156"/>
        <v>-4.1190897799999675</v>
      </c>
      <c r="Y94" s="22">
        <f t="shared" si="156"/>
        <v>-23.900407769999958</v>
      </c>
      <c r="Z94" s="22">
        <f t="shared" si="156"/>
        <v>-71.655646542400007</v>
      </c>
      <c r="AA94" s="23">
        <f t="shared" si="148"/>
        <v>-70.862348412399967</v>
      </c>
      <c r="AB94" s="22">
        <f>-(AB287-Z287)</f>
        <v>30.68718384999994</v>
      </c>
      <c r="AC94" s="22">
        <f t="shared" si="156"/>
        <v>-22.554337019999991</v>
      </c>
      <c r="AD94" s="22">
        <f t="shared" si="156"/>
        <v>-25.779277410000077</v>
      </c>
      <c r="AE94" s="22">
        <f t="shared" si="156"/>
        <v>-55.955552749999924</v>
      </c>
      <c r="AF94" s="23">
        <f t="shared" si="149"/>
        <v>-73.601983330000053</v>
      </c>
      <c r="AG94" s="22">
        <f>-(AG287-AE287)</f>
        <v>18.401873310000042</v>
      </c>
      <c r="AH94" s="22">
        <f t="shared" si="156"/>
        <v>-8.0971259650787601</v>
      </c>
      <c r="AI94" s="22">
        <f t="shared" si="156"/>
        <v>-1.5650871907378701</v>
      </c>
      <c r="AJ94" s="22">
        <f t="shared" si="156"/>
        <v>-57.291360033148976</v>
      </c>
      <c r="AK94" s="23">
        <f t="shared" si="150"/>
        <v>-48.551699878965564</v>
      </c>
      <c r="AL94" s="23">
        <f>-(AL287-AK287)</f>
        <v>-73.381562165896298</v>
      </c>
      <c r="AM94" s="23">
        <f>-(AM287-AL287)</f>
        <v>-81.537315530006254</v>
      </c>
      <c r="AN94" s="23">
        <f t="shared" ref="AN94:AT94" si="157">-(AN287-AM287)</f>
        <v>-87.817428680624744</v>
      </c>
      <c r="AO94" s="23">
        <f t="shared" si="157"/>
        <v>-94.499063767800862</v>
      </c>
      <c r="AP94" s="23">
        <f t="shared" si="157"/>
        <v>-101.60558051907742</v>
      </c>
      <c r="AQ94" s="23">
        <f t="shared" si="157"/>
        <v>-109.16162466888545</v>
      </c>
      <c r="AR94" s="23">
        <f t="shared" si="157"/>
        <v>-117.19319650495322</v>
      </c>
      <c r="AS94" s="23">
        <f t="shared" si="157"/>
        <v>-125.7277230147065</v>
      </c>
      <c r="AT94" s="23">
        <f t="shared" si="157"/>
        <v>-134.79413382112102</v>
      </c>
      <c r="AU94" s="8" t="s">
        <v>29</v>
      </c>
    </row>
    <row r="95" spans="1:47" ht="16.2" customHeight="1" x14ac:dyDescent="0.3">
      <c r="B95" s="20" t="s">
        <v>92</v>
      </c>
      <c r="D95" s="22">
        <f>-D374</f>
        <v>0</v>
      </c>
      <c r="E95" s="22">
        <f t="shared" ref="E95:AJ95" si="158">-E374</f>
        <v>-0.26200000000000001</v>
      </c>
      <c r="F95" s="22">
        <f t="shared" si="158"/>
        <v>-9.0549999999999997</v>
      </c>
      <c r="G95" s="23">
        <f t="shared" si="144"/>
        <v>-9.3170000000000002</v>
      </c>
      <c r="H95" s="22">
        <f t="shared" si="158"/>
        <v>-0.121</v>
      </c>
      <c r="I95" s="22">
        <f t="shared" si="158"/>
        <v>-3.4790000000000001</v>
      </c>
      <c r="J95" s="22">
        <f t="shared" si="158"/>
        <v>-2.5350000000000001</v>
      </c>
      <c r="K95" s="22">
        <f t="shared" si="158"/>
        <v>-3.6840000000000002</v>
      </c>
      <c r="L95" s="23">
        <f t="shared" si="145"/>
        <v>-9.8189999999999991</v>
      </c>
      <c r="M95" s="22">
        <f t="shared" si="158"/>
        <v>-3.5990000000000002</v>
      </c>
      <c r="N95" s="22">
        <f t="shared" si="158"/>
        <v>-20.795999999999999</v>
      </c>
      <c r="O95" s="22">
        <f t="shared" si="158"/>
        <v>-17.552</v>
      </c>
      <c r="P95" s="22">
        <f t="shared" si="158"/>
        <v>-6.6449999999999996</v>
      </c>
      <c r="Q95" s="23">
        <f t="shared" si="146"/>
        <v>-48.591999999999999</v>
      </c>
      <c r="R95" s="22">
        <f t="shared" si="158"/>
        <v>-4.3410000000000002</v>
      </c>
      <c r="S95" s="22">
        <f t="shared" si="158"/>
        <v>-5.2229999999999999</v>
      </c>
      <c r="T95" s="22">
        <f t="shared" si="158"/>
        <v>-4.1550000000000002</v>
      </c>
      <c r="U95" s="22">
        <f t="shared" si="158"/>
        <v>-6.3620000000000001</v>
      </c>
      <c r="V95" s="23">
        <f t="shared" si="147"/>
        <v>-20.081000000000003</v>
      </c>
      <c r="W95" s="22">
        <f t="shared" si="158"/>
        <v>-6.2969999999999997</v>
      </c>
      <c r="X95" s="22">
        <f t="shared" si="158"/>
        <v>-8.49</v>
      </c>
      <c r="Y95" s="22">
        <f t="shared" si="158"/>
        <v>-9.3960000000000008</v>
      </c>
      <c r="Z95" s="22">
        <f t="shared" si="158"/>
        <v>-11.08</v>
      </c>
      <c r="AA95" s="23">
        <f t="shared" si="148"/>
        <v>-35.262999999999998</v>
      </c>
      <c r="AB95" s="22">
        <f t="shared" si="158"/>
        <v>-6.1289999999999996</v>
      </c>
      <c r="AC95" s="22">
        <f t="shared" si="158"/>
        <v>-6.1980000000000004</v>
      </c>
      <c r="AD95" s="22">
        <f t="shared" si="158"/>
        <v>-5.7880000000000003</v>
      </c>
      <c r="AE95" s="22">
        <f t="shared" si="158"/>
        <v>-11.359</v>
      </c>
      <c r="AF95" s="23">
        <f t="shared" si="149"/>
        <v>-29.474000000000004</v>
      </c>
      <c r="AG95" s="22">
        <f t="shared" si="158"/>
        <v>-7.5570000000000004</v>
      </c>
      <c r="AH95" s="22">
        <f t="shared" ca="1" si="158"/>
        <v>-10.239526975156553</v>
      </c>
      <c r="AI95" s="22">
        <f t="shared" ca="1" si="158"/>
        <v>-10.677344268388657</v>
      </c>
      <c r="AJ95" s="22">
        <f t="shared" ca="1" si="158"/>
        <v>-13.455770579465449</v>
      </c>
      <c r="AK95" s="23">
        <f t="shared" ca="1" si="150"/>
        <v>-41.929641823010662</v>
      </c>
      <c r="AL95" s="23">
        <f ca="1">-AL374</f>
        <v>-47.188925212318743</v>
      </c>
      <c r="AM95" s="23">
        <f ca="1">-AM374</f>
        <v>-53.010723406227825</v>
      </c>
      <c r="AN95" s="23">
        <f t="shared" ref="AN95:AT95" ca="1" si="159">-AN374</f>
        <v>-59.270710221606166</v>
      </c>
      <c r="AO95" s="23">
        <f t="shared" ca="1" si="159"/>
        <v>-65.996638070236216</v>
      </c>
      <c r="AP95" s="23">
        <f t="shared" ca="1" si="159"/>
        <v>-73.21786621445608</v>
      </c>
      <c r="AQ95" s="23">
        <f t="shared" ca="1" si="159"/>
        <v>-80.965448989267841</v>
      </c>
      <c r="AR95" s="23">
        <f t="shared" ca="1" si="159"/>
        <v>-89.272228719037699</v>
      </c>
      <c r="AS95" s="23">
        <f t="shared" ca="1" si="159"/>
        <v>-98.172933575045761</v>
      </c>
      <c r="AT95" s="23">
        <f t="shared" ca="1" si="159"/>
        <v>-107.70428063308803</v>
      </c>
      <c r="AU95" s="8" t="s">
        <v>29</v>
      </c>
    </row>
    <row r="96" spans="1:47" ht="16.2" customHeight="1" x14ac:dyDescent="0.3">
      <c r="B96" s="20" t="s">
        <v>93</v>
      </c>
      <c r="D96" s="22">
        <f>-D391</f>
        <v>-2.8000000000000001E-2</v>
      </c>
      <c r="E96" s="22">
        <f t="shared" ref="E96:AJ96" si="160">-E391</f>
        <v>-3.2000000000000001E-2</v>
      </c>
      <c r="F96" s="22">
        <f t="shared" si="160"/>
        <v>-0.14799999999999999</v>
      </c>
      <c r="G96" s="23">
        <f t="shared" si="144"/>
        <v>-0.20799999999999999</v>
      </c>
      <c r="H96" s="22">
        <f t="shared" si="160"/>
        <v>-0.42499999999999999</v>
      </c>
      <c r="I96" s="22">
        <f t="shared" si="160"/>
        <v>-0.79100000000000004</v>
      </c>
      <c r="J96" s="22">
        <f t="shared" si="160"/>
        <v>-1.3069999999999999</v>
      </c>
      <c r="K96" s="22">
        <f t="shared" si="160"/>
        <v>-1.3180000000000001</v>
      </c>
      <c r="L96" s="23">
        <f t="shared" si="145"/>
        <v>-3.8409999999999997</v>
      </c>
      <c r="M96" s="22">
        <f t="shared" si="160"/>
        <v>-1.3420000000000001</v>
      </c>
      <c r="N96" s="22">
        <f t="shared" si="160"/>
        <v>-1.3380000000000001</v>
      </c>
      <c r="O96" s="22">
        <f t="shared" si="160"/>
        <v>-3.0219999999999998</v>
      </c>
      <c r="P96" s="22">
        <f t="shared" si="160"/>
        <v>-2.2469999999999999</v>
      </c>
      <c r="Q96" s="23">
        <f t="shared" si="146"/>
        <v>-7.9489999999999998</v>
      </c>
      <c r="R96" s="22">
        <f t="shared" si="160"/>
        <v>-2.9</v>
      </c>
      <c r="S96" s="22">
        <f t="shared" si="160"/>
        <v>-2.5299999999999998</v>
      </c>
      <c r="T96" s="22">
        <f t="shared" si="160"/>
        <v>-6.2270000000000003</v>
      </c>
      <c r="U96" s="22">
        <f t="shared" si="160"/>
        <v>-1.9750000000000001</v>
      </c>
      <c r="V96" s="23">
        <f t="shared" si="147"/>
        <v>-13.632</v>
      </c>
      <c r="W96" s="22">
        <f t="shared" si="160"/>
        <v>-5.008</v>
      </c>
      <c r="X96" s="22">
        <f t="shared" si="160"/>
        <v>-1.468</v>
      </c>
      <c r="Y96" s="22">
        <f t="shared" si="160"/>
        <v>-2.919</v>
      </c>
      <c r="Z96" s="22">
        <f t="shared" si="160"/>
        <v>-0.52300000000000002</v>
      </c>
      <c r="AA96" s="23">
        <f t="shared" si="148"/>
        <v>-9.9179999999999993</v>
      </c>
      <c r="AB96" s="22">
        <f t="shared" si="160"/>
        <v>-2.7949999999999999</v>
      </c>
      <c r="AC96" s="22">
        <f t="shared" si="160"/>
        <v>-5.5839999999999996</v>
      </c>
      <c r="AD96" s="22">
        <f t="shared" si="160"/>
        <v>-4.0419999999999998</v>
      </c>
      <c r="AE96" s="22">
        <f t="shared" si="160"/>
        <v>-4.2119999999999997</v>
      </c>
      <c r="AF96" s="23">
        <f t="shared" si="149"/>
        <v>-16.632999999999999</v>
      </c>
      <c r="AG96" s="22">
        <f t="shared" si="160"/>
        <v>-3.97</v>
      </c>
      <c r="AH96" s="22">
        <f t="shared" si="160"/>
        <v>-2.6054782533100029</v>
      </c>
      <c r="AI96" s="22">
        <f t="shared" si="160"/>
        <v>-2.7509874709010957</v>
      </c>
      <c r="AJ96" s="22">
        <f t="shared" si="160"/>
        <v>-3.67440151805926</v>
      </c>
      <c r="AK96" s="23">
        <f t="shared" si="150"/>
        <v>-13.00086724227036</v>
      </c>
      <c r="AL96" s="23">
        <f>-AL391</f>
        <v>-14.834889408443484</v>
      </c>
      <c r="AM96" s="23">
        <f>-AM391</f>
        <v>-16.87274796089854</v>
      </c>
      <c r="AN96" s="23">
        <f t="shared" ref="AN96:AT96" si="161">-AN391</f>
        <v>-19.067565106007574</v>
      </c>
      <c r="AO96" s="23">
        <f t="shared" si="161"/>
        <v>-21.429376063928295</v>
      </c>
      <c r="AP96" s="23">
        <f t="shared" si="161"/>
        <v>-23.968799883464815</v>
      </c>
      <c r="AQ96" s="23">
        <f t="shared" si="161"/>
        <v>-26.697071583181387</v>
      </c>
      <c r="AR96" s="23">
        <f t="shared" si="161"/>
        <v>-29.626076005693633</v>
      </c>
      <c r="AS96" s="23">
        <f t="shared" si="161"/>
        <v>-32.768383475111492</v>
      </c>
      <c r="AT96" s="23">
        <f t="shared" si="161"/>
        <v>-36.137287352343684</v>
      </c>
      <c r="AU96" s="8" t="s">
        <v>29</v>
      </c>
    </row>
    <row r="97" spans="1:47" ht="16.2" customHeight="1" x14ac:dyDescent="0.3">
      <c r="B97" s="20" t="s">
        <v>94</v>
      </c>
      <c r="D97" s="22">
        <f>D363</f>
        <v>-2.0030000000000001</v>
      </c>
      <c r="E97" s="22">
        <f t="shared" ref="E97:AJ97" si="162">E363</f>
        <v>-2.0230000000000001</v>
      </c>
      <c r="F97" s="22">
        <f t="shared" si="162"/>
        <v>-1.859</v>
      </c>
      <c r="G97" s="23">
        <f t="shared" si="144"/>
        <v>-5.8849999999999998</v>
      </c>
      <c r="H97" s="22">
        <f t="shared" si="162"/>
        <v>-1.7070000000000001</v>
      </c>
      <c r="I97" s="22">
        <f t="shared" si="162"/>
        <v>-1.7949999999999999</v>
      </c>
      <c r="J97" s="22">
        <f t="shared" si="162"/>
        <v>-2.5550000000000002</v>
      </c>
      <c r="K97" s="22">
        <f t="shared" si="162"/>
        <v>-2.4140000000000001</v>
      </c>
      <c r="L97" s="23">
        <f t="shared" si="145"/>
        <v>-8.4710000000000001</v>
      </c>
      <c r="M97" s="22">
        <f t="shared" si="162"/>
        <v>-2.8239999999999998</v>
      </c>
      <c r="N97" s="22">
        <f t="shared" si="162"/>
        <v>-3.0710000000000002</v>
      </c>
      <c r="O97" s="22">
        <f t="shared" si="162"/>
        <v>-3.2189999999999999</v>
      </c>
      <c r="P97" s="22">
        <f t="shared" si="162"/>
        <v>-3.7010000000000001</v>
      </c>
      <c r="Q97" s="23">
        <f t="shared" si="146"/>
        <v>-12.815</v>
      </c>
      <c r="R97" s="22">
        <f t="shared" si="162"/>
        <v>-3.8570000000000002</v>
      </c>
      <c r="S97" s="22">
        <f t="shared" si="162"/>
        <v>-3.9889999999999999</v>
      </c>
      <c r="T97" s="22">
        <f t="shared" si="162"/>
        <v>-4.2320000000000002</v>
      </c>
      <c r="U97" s="22">
        <f t="shared" si="162"/>
        <v>-4.2949999999999999</v>
      </c>
      <c r="V97" s="23">
        <f t="shared" si="147"/>
        <v>-16.372999999999998</v>
      </c>
      <c r="W97" s="22">
        <f t="shared" si="162"/>
        <v>-4.2619999999999996</v>
      </c>
      <c r="X97" s="22">
        <f t="shared" si="162"/>
        <v>-4.3159999999999998</v>
      </c>
      <c r="Y97" s="22">
        <f t="shared" si="162"/>
        <v>-4.47</v>
      </c>
      <c r="Z97" s="22">
        <f t="shared" si="162"/>
        <v>-4.57</v>
      </c>
      <c r="AA97" s="23">
        <f t="shared" si="148"/>
        <v>-17.617999999999999</v>
      </c>
      <c r="AB97" s="22">
        <f t="shared" si="162"/>
        <v>-4.6959999999999997</v>
      </c>
      <c r="AC97" s="22">
        <f t="shared" si="162"/>
        <v>-5.0209999999999999</v>
      </c>
      <c r="AD97" s="22">
        <f t="shared" si="162"/>
        <v>-4.8620000000000001</v>
      </c>
      <c r="AE97" s="22">
        <f t="shared" si="162"/>
        <v>-5.1269999999999998</v>
      </c>
      <c r="AF97" s="23">
        <f t="shared" si="149"/>
        <v>-19.706</v>
      </c>
      <c r="AG97" s="22">
        <f t="shared" si="162"/>
        <v>-5.2759999999999998</v>
      </c>
      <c r="AH97" s="22">
        <f t="shared" si="162"/>
        <v>-5.4948029047815563</v>
      </c>
      <c r="AI97" s="22">
        <f t="shared" si="162"/>
        <v>-5.4948029047815563</v>
      </c>
      <c r="AJ97" s="22">
        <f t="shared" si="162"/>
        <v>-5.9810680838554369</v>
      </c>
      <c r="AK97" s="23">
        <f t="shared" si="150"/>
        <v>-22.246673893418549</v>
      </c>
      <c r="AL97" s="23">
        <f>AL363</f>
        <v>-25.86175840109906</v>
      </c>
      <c r="AM97" s="23">
        <f>AM363</f>
        <v>-29.782734674814083</v>
      </c>
      <c r="AN97" s="23">
        <f t="shared" ref="AN97:AT97" si="163">AN363</f>
        <v>-34.031154179897854</v>
      </c>
      <c r="AO97" s="23">
        <f t="shared" si="163"/>
        <v>-38.629958798802974</v>
      </c>
      <c r="AP97" s="23">
        <f t="shared" si="163"/>
        <v>-43.603565994148852</v>
      </c>
      <c r="AQ97" s="23">
        <f t="shared" si="163"/>
        <v>-48.977959012032322</v>
      </c>
      <c r="AR97" s="23">
        <f t="shared" si="163"/>
        <v>-54.780782416718765</v>
      </c>
      <c r="AS97" s="23">
        <f t="shared" si="163"/>
        <v>-61.041443264343755</v>
      </c>
      <c r="AT97" s="23">
        <f t="shared" si="163"/>
        <v>-67.79121824068946</v>
      </c>
      <c r="AU97" s="8" t="s">
        <v>29</v>
      </c>
    </row>
    <row r="98" spans="1:47" ht="7.95" customHeight="1" x14ac:dyDescent="0.3">
      <c r="G98" s="7"/>
      <c r="L98" s="7"/>
      <c r="Q98" s="7"/>
      <c r="V98" s="7"/>
      <c r="AA98" s="7"/>
      <c r="AF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8" t="s">
        <v>29</v>
      </c>
    </row>
    <row r="99" spans="1:47" ht="16.2" customHeight="1" x14ac:dyDescent="0.3">
      <c r="B99" s="5" t="s">
        <v>95</v>
      </c>
      <c r="C99" s="5"/>
      <c r="D99" s="28">
        <f>SUM(D91:D97)</f>
        <v>-18.574999999999996</v>
      </c>
      <c r="E99" s="28">
        <f t="shared" ref="E99:AJ99" si="164">SUM(E91:E97)</f>
        <v>-11.434000000000015</v>
      </c>
      <c r="F99" s="28">
        <f t="shared" si="164"/>
        <v>-28.077783191871937</v>
      </c>
      <c r="G99" s="29">
        <f>SUM(C99:F99)</f>
        <v>-58.086783191871945</v>
      </c>
      <c r="H99" s="28">
        <f t="shared" si="164"/>
        <v>12.484266622399996</v>
      </c>
      <c r="I99" s="28">
        <f t="shared" si="164"/>
        <v>-24.185309659999966</v>
      </c>
      <c r="J99" s="28">
        <f t="shared" si="164"/>
        <v>-9.5279731489379405</v>
      </c>
      <c r="K99" s="28">
        <f t="shared" si="164"/>
        <v>-0.57895279590024629</v>
      </c>
      <c r="L99" s="29">
        <f>SUM(H99:K99)</f>
        <v>-21.807968982438158</v>
      </c>
      <c r="M99" s="28">
        <f t="shared" si="164"/>
        <v>15.076013690000083</v>
      </c>
      <c r="N99" s="28">
        <f t="shared" si="164"/>
        <v>-13.98452578999999</v>
      </c>
      <c r="O99" s="28">
        <f t="shared" si="164"/>
        <v>-17.888265211324004</v>
      </c>
      <c r="P99" s="28">
        <f t="shared" si="164"/>
        <v>2.3404921819220772</v>
      </c>
      <c r="Q99" s="29">
        <f>SUM(M99:P99)</f>
        <v>-14.456285129401834</v>
      </c>
      <c r="R99" s="28">
        <f t="shared" si="164"/>
        <v>24.954975050000016</v>
      </c>
      <c r="S99" s="28">
        <f t="shared" si="164"/>
        <v>-0.86049223999980962</v>
      </c>
      <c r="T99" s="28">
        <f t="shared" si="164"/>
        <v>2.4754484599999698</v>
      </c>
      <c r="U99" s="28">
        <f t="shared" si="164"/>
        <v>-5.5386707205001589</v>
      </c>
      <c r="V99" s="29">
        <f>SUM(R99:U99)</f>
        <v>21.031260549500018</v>
      </c>
      <c r="W99" s="28">
        <f t="shared" si="164"/>
        <v>46.729105219999916</v>
      </c>
      <c r="X99" s="28">
        <f t="shared" si="164"/>
        <v>15.787910220000057</v>
      </c>
      <c r="Y99" s="28">
        <f t="shared" si="164"/>
        <v>-7.9070247299999572</v>
      </c>
      <c r="Z99" s="28">
        <f t="shared" si="164"/>
        <v>-38.498304055400062</v>
      </c>
      <c r="AA99" s="29">
        <f>SUM(W99:Z99)</f>
        <v>16.111686654599957</v>
      </c>
      <c r="AB99" s="28">
        <f t="shared" si="164"/>
        <v>60.123796593544881</v>
      </c>
      <c r="AC99" s="28">
        <f t="shared" si="164"/>
        <v>3.8326629800000349</v>
      </c>
      <c r="AD99" s="28">
        <f t="shared" si="164"/>
        <v>-1.1490483530650906</v>
      </c>
      <c r="AE99" s="28">
        <f t="shared" si="164"/>
        <v>-22.945552749999944</v>
      </c>
      <c r="AF99" s="29">
        <f>SUM(AB99:AE99)</f>
        <v>39.861858470479888</v>
      </c>
      <c r="AG99" s="28">
        <f t="shared" si="164"/>
        <v>45.949873310000015</v>
      </c>
      <c r="AH99" s="28">
        <f t="shared" ca="1" si="164"/>
        <v>18.446691621845446</v>
      </c>
      <c r="AI99" s="28">
        <f t="shared" ca="1" si="164"/>
        <v>38.115839606470175</v>
      </c>
      <c r="AJ99" s="28">
        <f t="shared" ca="1" si="164"/>
        <v>-5.6368136931148944</v>
      </c>
      <c r="AK99" s="29">
        <f ca="1">SUM(AG99:AJ99)</f>
        <v>96.875590845200747</v>
      </c>
      <c r="AL99" s="29">
        <f ca="1">SUM(AL91:AL97)</f>
        <v>93.778026197897617</v>
      </c>
      <c r="AM99" s="29">
        <f ca="1">SUM(AM91:AM97)</f>
        <v>146.38898610037478</v>
      </c>
      <c r="AN99" s="29">
        <f t="shared" ref="AN99:AT99" ca="1" si="165">SUM(AN91:AN97)</f>
        <v>185.43464071647338</v>
      </c>
      <c r="AO99" s="29">
        <f t="shared" ca="1" si="165"/>
        <v>229.86164439368565</v>
      </c>
      <c r="AP99" s="29">
        <f t="shared" ca="1" si="165"/>
        <v>280.00355644079275</v>
      </c>
      <c r="AQ99" s="29">
        <f t="shared" ca="1" si="165"/>
        <v>336.41563148115142</v>
      </c>
      <c r="AR99" s="29">
        <f t="shared" ca="1" si="165"/>
        <v>399.69186306708787</v>
      </c>
      <c r="AS99" s="29">
        <f t="shared" ca="1" si="165"/>
        <v>470.46857523670138</v>
      </c>
      <c r="AT99" s="29">
        <f t="shared" ca="1" si="165"/>
        <v>549.42803498882199</v>
      </c>
      <c r="AU99" s="8" t="s">
        <v>29</v>
      </c>
    </row>
    <row r="100" spans="1:47" ht="7.95" customHeight="1" x14ac:dyDescent="0.3">
      <c r="G100" s="7"/>
      <c r="L100" s="7"/>
      <c r="Q100" s="7"/>
      <c r="V100" s="7"/>
      <c r="AA100" s="7"/>
      <c r="AF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8" t="s">
        <v>29</v>
      </c>
    </row>
    <row r="101" spans="1:47" ht="16.2" customHeight="1" x14ac:dyDescent="0.3">
      <c r="B101" s="20" t="s">
        <v>96</v>
      </c>
      <c r="D101" s="22">
        <f>-D152</f>
        <v>-0.23100000000000001</v>
      </c>
      <c r="E101" s="22">
        <f t="shared" ref="E101:AJ101" si="166">-E152</f>
        <v>0</v>
      </c>
      <c r="F101" s="22">
        <f t="shared" si="166"/>
        <v>-114.06399999999999</v>
      </c>
      <c r="G101" s="23">
        <f>SUM(C101:F101)</f>
        <v>-114.29499999999999</v>
      </c>
      <c r="H101" s="22">
        <f t="shared" si="166"/>
        <v>0</v>
      </c>
      <c r="I101" s="22">
        <f t="shared" si="166"/>
        <v>-6.1349999999999998</v>
      </c>
      <c r="J101" s="22">
        <f t="shared" si="166"/>
        <v>0</v>
      </c>
      <c r="K101" s="22">
        <f t="shared" si="166"/>
        <v>-9.5299999999999994</v>
      </c>
      <c r="L101" s="23">
        <f>SUM(H101:K101)</f>
        <v>-15.664999999999999</v>
      </c>
      <c r="M101" s="22">
        <f t="shared" si="166"/>
        <v>0</v>
      </c>
      <c r="N101" s="22">
        <f t="shared" si="166"/>
        <v>-9.8810000000000002</v>
      </c>
      <c r="O101" s="22">
        <f t="shared" si="166"/>
        <v>0</v>
      </c>
      <c r="P101" s="22">
        <f t="shared" si="166"/>
        <v>-12.256</v>
      </c>
      <c r="Q101" s="23">
        <f>SUM(M101:P101)</f>
        <v>-22.137</v>
      </c>
      <c r="R101" s="22">
        <f t="shared" si="166"/>
        <v>-0.15273963999999998</v>
      </c>
      <c r="S101" s="22">
        <f t="shared" si="166"/>
        <v>-24.36</v>
      </c>
      <c r="T101" s="22">
        <f t="shared" si="166"/>
        <v>-0.66200000000000003</v>
      </c>
      <c r="U101" s="22">
        <f t="shared" si="166"/>
        <v>-0.69799999999999995</v>
      </c>
      <c r="V101" s="23">
        <f>SUM(R101:U101)</f>
        <v>-25.872739639999999</v>
      </c>
      <c r="W101" s="22">
        <f t="shared" si="166"/>
        <v>-0.99</v>
      </c>
      <c r="X101" s="22">
        <f t="shared" si="166"/>
        <v>-33.781090999999996</v>
      </c>
      <c r="Y101" s="22">
        <f t="shared" si="166"/>
        <v>-13.019909</v>
      </c>
      <c r="Z101" s="22">
        <f t="shared" si="166"/>
        <v>-10.898</v>
      </c>
      <c r="AA101" s="23">
        <f>SUM(W101:Z101)</f>
        <v>-58.688999999999993</v>
      </c>
      <c r="AB101" s="22">
        <f t="shared" si="166"/>
        <v>-16.131</v>
      </c>
      <c r="AC101" s="22">
        <f t="shared" si="166"/>
        <v>-29.942</v>
      </c>
      <c r="AD101" s="22">
        <f t="shared" si="166"/>
        <v>-1.17</v>
      </c>
      <c r="AE101" s="22">
        <f t="shared" si="166"/>
        <v>-1.2310000000000001</v>
      </c>
      <c r="AF101" s="23">
        <f>SUM(AB101:AE101)</f>
        <v>-48.474000000000004</v>
      </c>
      <c r="AG101" s="22">
        <f t="shared" si="166"/>
        <v>-2.9370000000000003</v>
      </c>
      <c r="AH101" s="22">
        <f ca="1">-AH152</f>
        <v>-18.446691621845446</v>
      </c>
      <c r="AI101" s="22">
        <f t="shared" ca="1" si="166"/>
        <v>-38.115839606470175</v>
      </c>
      <c r="AJ101" s="22">
        <f t="shared" ca="1" si="166"/>
        <v>0</v>
      </c>
      <c r="AK101" s="23">
        <f ca="1">SUM(AG101:AJ101)</f>
        <v>-59.499531228315618</v>
      </c>
      <c r="AL101" s="23">
        <f ca="1">-AL152</f>
        <v>-93.778026197897617</v>
      </c>
      <c r="AM101" s="23">
        <f ca="1">-AM152</f>
        <v>-146.38898610037478</v>
      </c>
      <c r="AN101" s="23">
        <f t="shared" ref="AN101:AT101" ca="1" si="167">-AN152</f>
        <v>-185.43464071647338</v>
      </c>
      <c r="AO101" s="23">
        <f t="shared" ca="1" si="167"/>
        <v>-229.86164439368565</v>
      </c>
      <c r="AP101" s="23">
        <f t="shared" ca="1" si="167"/>
        <v>-280.00355644079275</v>
      </c>
      <c r="AQ101" s="23">
        <f t="shared" ca="1" si="167"/>
        <v>-336.41563148115142</v>
      </c>
      <c r="AR101" s="23">
        <f t="shared" ca="1" si="167"/>
        <v>-399.69186306708787</v>
      </c>
      <c r="AS101" s="23">
        <f t="shared" ca="1" si="167"/>
        <v>-470.46857523670138</v>
      </c>
      <c r="AT101" s="23">
        <f t="shared" ca="1" si="167"/>
        <v>-549.42803498882199</v>
      </c>
      <c r="AU101" s="8" t="s">
        <v>29</v>
      </c>
    </row>
    <row r="102" spans="1:47" ht="16.2" customHeight="1" x14ac:dyDescent="0.3">
      <c r="B102" s="20" t="s">
        <v>97</v>
      </c>
      <c r="D102" s="22">
        <f t="shared" ref="D102:AE102" si="168">-((D99+D101)+(D125-C125))</f>
        <v>10.185000000000016</v>
      </c>
      <c r="E102" s="22">
        <f t="shared" si="168"/>
        <v>1.6960000000000015</v>
      </c>
      <c r="F102" s="22">
        <f t="shared" si="168"/>
        <v>292.34278319187194</v>
      </c>
      <c r="G102" s="23">
        <f>SUM(C102:F102)</f>
        <v>304.22378319187197</v>
      </c>
      <c r="H102" s="22">
        <f>-((H99+H101)+(H125-F125))</f>
        <v>-15.56326662239999</v>
      </c>
      <c r="I102" s="22">
        <f t="shared" si="168"/>
        <v>13.879309659999961</v>
      </c>
      <c r="J102" s="22">
        <f t="shared" si="168"/>
        <v>9.3059731489379462</v>
      </c>
      <c r="K102" s="22">
        <f t="shared" si="168"/>
        <v>3.7989527959002434</v>
      </c>
      <c r="L102" s="23">
        <f>SUM(H102:K102)</f>
        <v>11.420968982438161</v>
      </c>
      <c r="M102" s="22">
        <f>-((M99+M101)+(M125-K125))</f>
        <v>-7.4880136900000895</v>
      </c>
      <c r="N102" s="22">
        <f t="shared" si="168"/>
        <v>20.058525789999997</v>
      </c>
      <c r="O102" s="22">
        <f t="shared" si="168"/>
        <v>1.9142652113240075</v>
      </c>
      <c r="P102" s="22">
        <f t="shared" si="168"/>
        <v>2.0245078180779181</v>
      </c>
      <c r="Q102" s="23">
        <f>SUM(M102:P102)</f>
        <v>16.509285129401832</v>
      </c>
      <c r="R102" s="22">
        <f>-((R99+R101)+(R125-P125))</f>
        <v>-25.429235410000011</v>
      </c>
      <c r="S102" s="22">
        <f t="shared" si="168"/>
        <v>18.581492239999811</v>
      </c>
      <c r="T102" s="22">
        <f t="shared" si="168"/>
        <v>-0.65144845999997081</v>
      </c>
      <c r="U102" s="22">
        <f t="shared" si="168"/>
        <v>2.5386707205001553</v>
      </c>
      <c r="V102" s="23">
        <f>SUM(R102:U102)</f>
        <v>-4.9605209095000156</v>
      </c>
      <c r="W102" s="22">
        <f>-((W99+W101)+(W125-U125))</f>
        <v>-23.677105219999909</v>
      </c>
      <c r="X102" s="22">
        <f t="shared" si="168"/>
        <v>23.588180779999938</v>
      </c>
      <c r="Y102" s="22">
        <f t="shared" si="168"/>
        <v>-4.6810662700000414</v>
      </c>
      <c r="Z102" s="22">
        <f t="shared" si="168"/>
        <v>14.977304055400069</v>
      </c>
      <c r="AA102" s="23">
        <f>SUM(W102:Z102)</f>
        <v>10.207313345400056</v>
      </c>
      <c r="AB102" s="22">
        <f>-((AB99+AB101)+(AB125-Z125))</f>
        <v>-24.40779659354488</v>
      </c>
      <c r="AC102" s="22">
        <f t="shared" si="168"/>
        <v>18.454337019999965</v>
      </c>
      <c r="AD102" s="22">
        <f t="shared" si="168"/>
        <v>-10.037951646934909</v>
      </c>
      <c r="AE102" s="22">
        <f t="shared" si="168"/>
        <v>29.478552749999945</v>
      </c>
      <c r="AF102" s="23">
        <f>SUM(AB102:AE102)</f>
        <v>13.487141529520121</v>
      </c>
      <c r="AG102" s="22">
        <f>-((AG99+AG101)+(AG125-AE125))</f>
        <v>-27.757873310000015</v>
      </c>
      <c r="AH102" s="169"/>
      <c r="AI102" s="169"/>
      <c r="AJ102" s="169"/>
      <c r="AK102" s="23">
        <f>SUM(AG102:AJ102)</f>
        <v>-27.757873310000015</v>
      </c>
      <c r="AL102" s="170"/>
      <c r="AM102" s="170"/>
      <c r="AN102" s="170"/>
      <c r="AO102" s="170"/>
      <c r="AP102" s="170"/>
      <c r="AQ102" s="170"/>
      <c r="AR102" s="170"/>
      <c r="AS102" s="170"/>
      <c r="AT102" s="170"/>
      <c r="AU102" s="8" t="s">
        <v>29</v>
      </c>
    </row>
    <row r="103" spans="1:47" ht="7.95" customHeight="1" x14ac:dyDescent="0.3">
      <c r="G103" s="7"/>
      <c r="L103" s="7"/>
      <c r="Q103" s="7"/>
      <c r="V103" s="7"/>
      <c r="AA103" s="7"/>
      <c r="AF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8" t="s">
        <v>29</v>
      </c>
    </row>
    <row r="104" spans="1:47" ht="16.2" customHeight="1" x14ac:dyDescent="0.3">
      <c r="B104" s="5" t="s">
        <v>98</v>
      </c>
      <c r="C104" s="5"/>
      <c r="D104" s="28">
        <f>D99+D101+D102</f>
        <v>-8.6209999999999809</v>
      </c>
      <c r="E104" s="28">
        <f t="shared" ref="E104:AJ104" si="169">E99+E101+E102</f>
        <v>-9.7380000000000138</v>
      </c>
      <c r="F104" s="28">
        <f t="shared" si="169"/>
        <v>150.20100000000002</v>
      </c>
      <c r="G104" s="29">
        <f>SUM(C104:F104)</f>
        <v>131.84200000000004</v>
      </c>
      <c r="H104" s="28">
        <f t="shared" si="169"/>
        <v>-3.0789999999999935</v>
      </c>
      <c r="I104" s="28">
        <f t="shared" si="169"/>
        <v>-16.441000000000003</v>
      </c>
      <c r="J104" s="28">
        <f t="shared" si="169"/>
        <v>-0.2219999999999942</v>
      </c>
      <c r="K104" s="28">
        <f t="shared" si="169"/>
        <v>-6.3100000000000023</v>
      </c>
      <c r="L104" s="29">
        <f>SUM(H104:K104)</f>
        <v>-26.051999999999992</v>
      </c>
      <c r="M104" s="28">
        <f t="shared" si="169"/>
        <v>7.5879999999999939</v>
      </c>
      <c r="N104" s="28">
        <f t="shared" si="169"/>
        <v>-3.8069999999999951</v>
      </c>
      <c r="O104" s="28">
        <f t="shared" si="169"/>
        <v>-15.973999999999997</v>
      </c>
      <c r="P104" s="28">
        <f t="shared" si="169"/>
        <v>-7.8910000000000053</v>
      </c>
      <c r="Q104" s="29">
        <f>SUM(M104:P104)</f>
        <v>-20.084000000000003</v>
      </c>
      <c r="R104" s="28">
        <f t="shared" si="169"/>
        <v>-0.62699999999999534</v>
      </c>
      <c r="S104" s="28">
        <f t="shared" si="169"/>
        <v>-6.6389999999999993</v>
      </c>
      <c r="T104" s="28">
        <f t="shared" si="169"/>
        <v>1.161999999999999</v>
      </c>
      <c r="U104" s="28">
        <f t="shared" si="169"/>
        <v>-3.698000000000004</v>
      </c>
      <c r="V104" s="29">
        <f>SUM(R104:U104)</f>
        <v>-9.8019999999999996</v>
      </c>
      <c r="W104" s="28">
        <f t="shared" si="169"/>
        <v>22.062000000000005</v>
      </c>
      <c r="X104" s="28">
        <f t="shared" si="169"/>
        <v>5.5949999999999989</v>
      </c>
      <c r="Y104" s="28">
        <f t="shared" si="169"/>
        <v>-25.608000000000001</v>
      </c>
      <c r="Z104" s="28">
        <f t="shared" si="169"/>
        <v>-34.418999999999997</v>
      </c>
      <c r="AA104" s="29">
        <f>SUM(W104:Z104)</f>
        <v>-32.36999999999999</v>
      </c>
      <c r="AB104" s="28">
        <f t="shared" si="169"/>
        <v>19.585000000000001</v>
      </c>
      <c r="AC104" s="28">
        <f t="shared" si="169"/>
        <v>-7.6550000000000011</v>
      </c>
      <c r="AD104" s="28">
        <f t="shared" si="169"/>
        <v>-12.356999999999999</v>
      </c>
      <c r="AE104" s="28">
        <f t="shared" si="169"/>
        <v>5.3019999999999996</v>
      </c>
      <c r="AF104" s="29">
        <f>SUM(AB104:AE104)</f>
        <v>4.875</v>
      </c>
      <c r="AG104" s="28">
        <f t="shared" si="169"/>
        <v>15.255000000000003</v>
      </c>
      <c r="AH104" s="28">
        <f t="shared" ca="1" si="169"/>
        <v>0</v>
      </c>
      <c r="AI104" s="28">
        <f t="shared" ca="1" si="169"/>
        <v>0</v>
      </c>
      <c r="AJ104" s="28">
        <f t="shared" ca="1" si="169"/>
        <v>-5.6368136931148944</v>
      </c>
      <c r="AK104" s="29">
        <f ca="1">SUM(AG104:AJ104)</f>
        <v>9.6181863068851072</v>
      </c>
      <c r="AL104" s="29">
        <f ca="1">AL99+AL101+AL102</f>
        <v>0</v>
      </c>
      <c r="AM104" s="29">
        <f ca="1">AM99+AM101+AM102</f>
        <v>0</v>
      </c>
      <c r="AN104" s="29">
        <f t="shared" ref="AN104:AT104" ca="1" si="170">AN99+AN101+AN102</f>
        <v>0</v>
      </c>
      <c r="AO104" s="29">
        <f t="shared" ca="1" si="170"/>
        <v>0</v>
      </c>
      <c r="AP104" s="29">
        <f t="shared" ca="1" si="170"/>
        <v>0</v>
      </c>
      <c r="AQ104" s="29">
        <f t="shared" ca="1" si="170"/>
        <v>0</v>
      </c>
      <c r="AR104" s="29">
        <f t="shared" ca="1" si="170"/>
        <v>0</v>
      </c>
      <c r="AS104" s="29">
        <f t="shared" ca="1" si="170"/>
        <v>0</v>
      </c>
      <c r="AT104" s="29">
        <f t="shared" ca="1" si="170"/>
        <v>0</v>
      </c>
      <c r="AU104" s="8" t="s">
        <v>29</v>
      </c>
    </row>
    <row r="105" spans="1:47" ht="7.95" customHeight="1" x14ac:dyDescent="0.3">
      <c r="G105" s="7"/>
      <c r="L105" s="7"/>
      <c r="Q105" s="7"/>
      <c r="V105" s="7"/>
      <c r="AA105" s="7"/>
      <c r="AF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8" t="s">
        <v>29</v>
      </c>
    </row>
    <row r="106" spans="1:47" ht="16.2" customHeight="1" x14ac:dyDescent="0.3">
      <c r="B106" s="41" t="s">
        <v>99</v>
      </c>
      <c r="C106" s="41"/>
      <c r="D106" s="42">
        <f t="shared" ref="D106:AJ106" si="171">D104+(D125-C125)</f>
        <v>0</v>
      </c>
      <c r="E106" s="42">
        <f t="shared" si="171"/>
        <v>0</v>
      </c>
      <c r="F106" s="42">
        <f t="shared" si="171"/>
        <v>0</v>
      </c>
      <c r="G106" s="43"/>
      <c r="H106" s="42">
        <f>H104+(H125-F125)</f>
        <v>0</v>
      </c>
      <c r="I106" s="42">
        <f t="shared" si="171"/>
        <v>0</v>
      </c>
      <c r="J106" s="42">
        <f t="shared" si="171"/>
        <v>0</v>
      </c>
      <c r="K106" s="42">
        <f t="shared" si="171"/>
        <v>0</v>
      </c>
      <c r="L106" s="43">
        <f>L104+(L125-F125)</f>
        <v>0</v>
      </c>
      <c r="M106" s="42">
        <f>M104+(M125-K125)</f>
        <v>0</v>
      </c>
      <c r="N106" s="42">
        <f t="shared" si="171"/>
        <v>0</v>
      </c>
      <c r="O106" s="42">
        <f t="shared" si="171"/>
        <v>0</v>
      </c>
      <c r="P106" s="42">
        <f t="shared" si="171"/>
        <v>0</v>
      </c>
      <c r="Q106" s="43">
        <f>Q104+(Q125-K125)</f>
        <v>0</v>
      </c>
      <c r="R106" s="42">
        <f>R104+(R125-P125)</f>
        <v>0</v>
      </c>
      <c r="S106" s="42">
        <f t="shared" si="171"/>
        <v>0</v>
      </c>
      <c r="T106" s="42">
        <f t="shared" si="171"/>
        <v>0</v>
      </c>
      <c r="U106" s="42">
        <f t="shared" si="171"/>
        <v>0</v>
      </c>
      <c r="V106" s="43">
        <f>V104+(V125-P125)</f>
        <v>0</v>
      </c>
      <c r="W106" s="42">
        <f>W104+(W125-U125)</f>
        <v>0</v>
      </c>
      <c r="X106" s="42">
        <f t="shared" si="171"/>
        <v>0</v>
      </c>
      <c r="Y106" s="42">
        <f t="shared" si="171"/>
        <v>0</v>
      </c>
      <c r="Z106" s="42">
        <f t="shared" si="171"/>
        <v>0</v>
      </c>
      <c r="AA106" s="43">
        <f>AA104+(AA125-U125)</f>
        <v>0</v>
      </c>
      <c r="AB106" s="42">
        <f>AB104+(AB125-Z125)</f>
        <v>0</v>
      </c>
      <c r="AC106" s="42">
        <f t="shared" si="171"/>
        <v>0</v>
      </c>
      <c r="AD106" s="42">
        <f t="shared" si="171"/>
        <v>0</v>
      </c>
      <c r="AE106" s="42">
        <f t="shared" si="171"/>
        <v>0</v>
      </c>
      <c r="AF106" s="43">
        <f>AF104+(AF125-Z125)</f>
        <v>0</v>
      </c>
      <c r="AG106" s="42">
        <f>AG104+(AG125-AE125)</f>
        <v>0</v>
      </c>
      <c r="AH106" s="42">
        <f t="shared" ca="1" si="171"/>
        <v>0</v>
      </c>
      <c r="AI106" s="42">
        <f t="shared" ca="1" si="171"/>
        <v>0</v>
      </c>
      <c r="AJ106" s="42">
        <f t="shared" ca="1" si="171"/>
        <v>0</v>
      </c>
      <c r="AK106" s="43">
        <f ca="1">AK104+(AK125-AE125)</f>
        <v>0</v>
      </c>
      <c r="AL106" s="43">
        <f ca="1">AL104+(AL125-AK125)</f>
        <v>0</v>
      </c>
      <c r="AM106" s="43">
        <f ca="1">AM104+(AM125-AL125)</f>
        <v>0</v>
      </c>
      <c r="AN106" s="43">
        <f t="shared" ref="AN106:AT106" ca="1" si="172">AN104+(AN125-AM125)</f>
        <v>0</v>
      </c>
      <c r="AO106" s="43">
        <f t="shared" ca="1" si="172"/>
        <v>0</v>
      </c>
      <c r="AP106" s="43">
        <f t="shared" ca="1" si="172"/>
        <v>0</v>
      </c>
      <c r="AQ106" s="43">
        <f t="shared" ca="1" si="172"/>
        <v>0</v>
      </c>
      <c r="AR106" s="43">
        <f t="shared" ca="1" si="172"/>
        <v>0</v>
      </c>
      <c r="AS106" s="43">
        <f t="shared" ca="1" si="172"/>
        <v>0</v>
      </c>
      <c r="AT106" s="43">
        <f t="shared" ca="1" si="172"/>
        <v>0</v>
      </c>
      <c r="AU106" s="8" t="s">
        <v>29</v>
      </c>
    </row>
    <row r="107" spans="1:47" ht="7.95" customHeight="1" x14ac:dyDescent="0.3">
      <c r="G107" s="7"/>
      <c r="L107" s="7"/>
      <c r="Q107" s="7"/>
      <c r="V107" s="7"/>
      <c r="AA107" s="7"/>
      <c r="AF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8" t="s">
        <v>29</v>
      </c>
    </row>
    <row r="108" spans="1:47" ht="16.2" customHeight="1" x14ac:dyDescent="0.3">
      <c r="A108" s="9" t="s">
        <v>30</v>
      </c>
      <c r="B108" s="10" t="s">
        <v>100</v>
      </c>
      <c r="C108" s="11"/>
      <c r="D108" s="11"/>
      <c r="E108" s="11"/>
      <c r="F108" s="11"/>
      <c r="G108" s="12"/>
      <c r="H108" s="11"/>
      <c r="I108" s="11"/>
      <c r="J108" s="11"/>
      <c r="K108" s="11"/>
      <c r="L108" s="12"/>
      <c r="M108" s="11"/>
      <c r="N108" s="11"/>
      <c r="O108" s="11"/>
      <c r="P108" s="11"/>
      <c r="Q108" s="12"/>
      <c r="R108" s="11"/>
      <c r="S108" s="11"/>
      <c r="T108" s="11"/>
      <c r="U108" s="11"/>
      <c r="V108" s="12"/>
      <c r="W108" s="11"/>
      <c r="X108" s="11"/>
      <c r="Y108" s="11"/>
      <c r="Z108" s="11"/>
      <c r="AA108" s="12"/>
      <c r="AB108" s="11"/>
      <c r="AC108" s="11"/>
      <c r="AD108" s="11"/>
      <c r="AE108" s="11"/>
      <c r="AF108" s="12"/>
      <c r="AG108" s="11"/>
      <c r="AH108" s="11"/>
      <c r="AI108" s="11"/>
      <c r="AJ108" s="11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8" t="s">
        <v>29</v>
      </c>
    </row>
    <row r="109" spans="1:47" ht="7.95" customHeight="1" x14ac:dyDescent="0.3">
      <c r="G109" s="7"/>
      <c r="L109" s="7"/>
      <c r="Q109" s="7"/>
      <c r="V109" s="7"/>
      <c r="AA109" s="7"/>
      <c r="AF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8" t="s">
        <v>29</v>
      </c>
    </row>
    <row r="110" spans="1:47" ht="16.2" customHeight="1" x14ac:dyDescent="0.3">
      <c r="B110" s="5" t="s">
        <v>101</v>
      </c>
      <c r="C110" s="5"/>
      <c r="D110" s="5"/>
      <c r="E110" s="5"/>
      <c r="F110" s="5"/>
      <c r="G110" s="44"/>
      <c r="H110" s="45">
        <f>SUM(D46:F46,H46)/AVERAGE(C83:F83,H83)</f>
        <v>0.35793839349494411</v>
      </c>
      <c r="I110" s="45">
        <f>SUM(E46:F46,H46:I46)/AVERAGE(D83:F83,H83:I83)</f>
        <v>0.35570500583083825</v>
      </c>
      <c r="J110" s="45">
        <f>SUM(F46,H46:J46)/AVERAGE(E83:F83,H83:J83)</f>
        <v>0.34777474568786815</v>
      </c>
      <c r="K110" s="45">
        <f>SUM(H46:K46)/AVERAGE(F83,H83:K83)</f>
        <v>0.33654520144607686</v>
      </c>
      <c r="L110" s="46">
        <f>K110</f>
        <v>0.33654520144607686</v>
      </c>
      <c r="M110" s="45">
        <f>SUM(I46:K46,M46)/AVERAGE(H83:K83,M83)</f>
        <v>0.36475805634089126</v>
      </c>
      <c r="N110" s="45">
        <f>SUM(J46:K46,M46:N46)/AVERAGE(I83:K83,M83:N83)</f>
        <v>0.35298452363538813</v>
      </c>
      <c r="O110" s="45">
        <f>SUM(K46,M46:O46)/AVERAGE(J83:K83,M83:O83)</f>
        <v>0.33985738287370165</v>
      </c>
      <c r="P110" s="45">
        <f>SUM(M46:P46)/AVERAGE(K83,M83:P83)</f>
        <v>0.32005822392260619</v>
      </c>
      <c r="Q110" s="46">
        <f>P110</f>
        <v>0.32005822392260619</v>
      </c>
      <c r="R110" s="45">
        <f>SUM(N46:P46,R46)/AVERAGE(M83:P83,R83)</f>
        <v>0.31993801251842863</v>
      </c>
      <c r="S110" s="45">
        <f>SUM(O46:P46,R46:S46)/AVERAGE(N83:P83,R83:S83)</f>
        <v>0.33290116545016868</v>
      </c>
      <c r="T110" s="45">
        <f>SUM(P46,R46:T46)/AVERAGE(O83:P83,R83:T83)</f>
        <v>0.32424711435294101</v>
      </c>
      <c r="U110" s="45">
        <f>SUM(R46:U46)/AVERAGE(P83,R83:U83)</f>
        <v>0.30910122548884528</v>
      </c>
      <c r="V110" s="46">
        <f>U110</f>
        <v>0.30910122548884528</v>
      </c>
      <c r="W110" s="45">
        <f>SUM(S46:U46,W46)/AVERAGE(R83:U83,W83)</f>
        <v>0.29560227639087161</v>
      </c>
      <c r="X110" s="45">
        <f>SUM(T46:U46,W46:X46)/AVERAGE(S83:U83,W83:X83)</f>
        <v>0.27983287533489865</v>
      </c>
      <c r="Y110" s="45">
        <f>SUM(U46,W46:Y46)/AVERAGE(T83:U83,W83:Y83)</f>
        <v>0.26269443749413185</v>
      </c>
      <c r="Z110" s="45">
        <f>SUM(W46:Z46)/AVERAGE(U83,W83:Z83)</f>
        <v>0.26487115683883988</v>
      </c>
      <c r="AA110" s="46">
        <f>Z110</f>
        <v>0.26487115683883988</v>
      </c>
      <c r="AB110" s="45">
        <f>SUM(X46:Z46,AB46)/AVERAGE(W83:Z83,AB83)</f>
        <v>0.27506753159291214</v>
      </c>
      <c r="AC110" s="45">
        <f>SUM(Y46:Z46,AB46:AC46)/AVERAGE(X83:Z83,AB83:AC83)</f>
        <v>0.2824154636444921</v>
      </c>
      <c r="AD110" s="45">
        <f>SUM(Z46,AB46:AD46)/AVERAGE(Y83:Z83,AB83:AD83)</f>
        <v>0.28375270252797874</v>
      </c>
      <c r="AE110" s="45">
        <f>SUM(AB46:AE46)/AVERAGE(Z83,AB83:AE83)</f>
        <v>0.2771401510749858</v>
      </c>
      <c r="AF110" s="46">
        <f>AE110</f>
        <v>0.2771401510749858</v>
      </c>
      <c r="AG110" s="45">
        <f>SUM(AC46:AE46,AG46)/AVERAGE(AB83:AE83,AG83)</f>
        <v>0.26417293288463572</v>
      </c>
      <c r="AH110" s="45">
        <f ca="1">SUM(AD46:AE46,AG46:AH46)/AVERAGE(AC83:AE83,AG83:AH83)</f>
        <v>0.25199807883674025</v>
      </c>
      <c r="AI110" s="45">
        <f ca="1">SUM(AE46,AG46:AI46)/AVERAGE(AD83:AE83,AG83:AI83)</f>
        <v>0.27248827375503898</v>
      </c>
      <c r="AJ110" s="45">
        <f ca="1">SUM(AG46:AJ46)/AVERAGE(AE83,AG83:AJ83)</f>
        <v>0.29012866496159995</v>
      </c>
      <c r="AK110" s="46">
        <f ca="1">AJ110</f>
        <v>0.29012866496159995</v>
      </c>
      <c r="AL110" s="46">
        <f ca="1">AL46/AVERAGE(AK83,AL83)</f>
        <v>0.27308223623025057</v>
      </c>
      <c r="AM110" s="46">
        <f ca="1">AM46/AVERAGE(AL83,AM83)</f>
        <v>0.31120966786250953</v>
      </c>
      <c r="AN110" s="46">
        <f t="shared" ref="AN110:AT110" ca="1" si="173">AN46/AVERAGE(AM83,AN83)</f>
        <v>0.32155934977780476</v>
      </c>
      <c r="AO110" s="46">
        <f t="shared" ca="1" si="173"/>
        <v>0.33262050267594268</v>
      </c>
      <c r="AP110" s="46">
        <f t="shared" ca="1" si="173"/>
        <v>0.34403113647506184</v>
      </c>
      <c r="AQ110" s="46">
        <f t="shared" ca="1" si="173"/>
        <v>0.35569641413522024</v>
      </c>
      <c r="AR110" s="46">
        <f t="shared" ca="1" si="173"/>
        <v>0.36755065963551292</v>
      </c>
      <c r="AS110" s="46">
        <f t="shared" ca="1" si="173"/>
        <v>0.37954749666737703</v>
      </c>
      <c r="AT110" s="46">
        <f t="shared" ca="1" si="173"/>
        <v>0.39165364761066962</v>
      </c>
      <c r="AU110" s="8" t="s">
        <v>29</v>
      </c>
    </row>
    <row r="111" spans="1:47" ht="16.2" customHeight="1" x14ac:dyDescent="0.3">
      <c r="B111" s="5" t="s">
        <v>102</v>
      </c>
      <c r="C111" s="5"/>
      <c r="D111" s="5"/>
      <c r="E111" s="5"/>
      <c r="F111" s="5"/>
      <c r="G111" s="44"/>
      <c r="H111" s="45">
        <f>H113/AVERAGE(C114:F114,H114)</f>
        <v>0.41963890298469175</v>
      </c>
      <c r="I111" s="45">
        <f>I113/AVERAGE(D114:F114,H114:I114)</f>
        <v>0.46950765276988415</v>
      </c>
      <c r="J111" s="45">
        <f>J113/AVERAGE(E114:F114,H114:J114)</f>
        <v>0.45907885020341982</v>
      </c>
      <c r="K111" s="45">
        <f>K113/AVERAGE(F114,H114:K114)</f>
        <v>0.42413454420811825</v>
      </c>
      <c r="L111" s="46">
        <f>K111</f>
        <v>0.42413454420811825</v>
      </c>
      <c r="M111" s="45">
        <f>M113/AVERAGE(H114:K114,M114)</f>
        <v>0.45776856201895261</v>
      </c>
      <c r="N111" s="45">
        <f>N113/AVERAGE(I114:K114,M114:N114)</f>
        <v>0.42537857791939121</v>
      </c>
      <c r="O111" s="45">
        <f>O113/AVERAGE(J114:K114,M114:O114)</f>
        <v>0.39912868744300123</v>
      </c>
      <c r="P111" s="45">
        <f>P113/AVERAGE(K114,M114:P114)</f>
        <v>0.36725795620884921</v>
      </c>
      <c r="Q111" s="46">
        <f>P111</f>
        <v>0.36725795620884921</v>
      </c>
      <c r="R111" s="45">
        <f>R113/AVERAGE(M114:P114,R114)</f>
        <v>0.35305162277353863</v>
      </c>
      <c r="S111" s="45">
        <f>S113/AVERAGE(N114:P114,R114:S114)</f>
        <v>0.35218659216697257</v>
      </c>
      <c r="T111" s="45">
        <f>T113/AVERAGE(O114:P114,R114:T114)</f>
        <v>0.33948326300968618</v>
      </c>
      <c r="U111" s="45">
        <f>U113/AVERAGE(P114,R114:U114)</f>
        <v>0.32474928547200022</v>
      </c>
      <c r="V111" s="46">
        <f>U111</f>
        <v>0.32474928547200022</v>
      </c>
      <c r="W111" s="45">
        <f>W113/AVERAGE(R114:U114,W114)</f>
        <v>0.3171274124751684</v>
      </c>
      <c r="X111" s="45">
        <f>X113/AVERAGE(S114:U114,W114:X114)</f>
        <v>0.30605513053796579</v>
      </c>
      <c r="Y111" s="45">
        <f>Y113/AVERAGE(T114:U114,W114:Y114)</f>
        <v>0.29637339115342537</v>
      </c>
      <c r="Z111" s="45">
        <f>Z113/AVERAGE(U114,W114:Z114)</f>
        <v>0.29473657704556538</v>
      </c>
      <c r="AA111" s="46">
        <f>Z111</f>
        <v>0.29473657704556538</v>
      </c>
      <c r="AB111" s="45">
        <f>AB113/AVERAGE(W114:Z114,AB114)</f>
        <v>0.31251895293774634</v>
      </c>
      <c r="AC111" s="45">
        <f>AC113/AVERAGE(X114:Z114,AB114:AC114)</f>
        <v>0.31738816601947423</v>
      </c>
      <c r="AD111" s="45">
        <f>AD113/AVERAGE(Y114:Z114,AB114:AD114)</f>
        <v>0.31526250575607662</v>
      </c>
      <c r="AE111" s="45">
        <f>AE113/AVERAGE(Z114,AB114:AE114)</f>
        <v>0.30683118564930045</v>
      </c>
      <c r="AF111" s="46">
        <f>AE111</f>
        <v>0.30683118564930045</v>
      </c>
      <c r="AG111" s="45">
        <f>AG113/AVERAGE(AB114:AE114,AG114)</f>
        <v>0.30279506698535563</v>
      </c>
      <c r="AH111" s="45">
        <f ca="1">AH113/AVERAGE(AC114:AE114,AG114:AH114)</f>
        <v>0.29856435251746971</v>
      </c>
      <c r="AI111" s="45">
        <f ca="1">AI113/AVERAGE(AD114:AE114,AG114:AI114)</f>
        <v>0.3040942005058776</v>
      </c>
      <c r="AJ111" s="45">
        <f ca="1">AJ113/AVERAGE(AE114,AG114:AJ114)</f>
        <v>0.31268257653506298</v>
      </c>
      <c r="AK111" s="46">
        <f ca="1">AJ111</f>
        <v>0.31268257653506298</v>
      </c>
      <c r="AL111" s="46">
        <f ca="1">AL113/AVERAGE(AK114,AL114)</f>
        <v>0.32309549869172483</v>
      </c>
      <c r="AM111" s="46">
        <f ca="1">AM113/AVERAGE(AL114,AM114)</f>
        <v>0.31581810881456035</v>
      </c>
      <c r="AN111" s="46">
        <f t="shared" ref="AN111:AT111" ca="1" si="174">AN113/AVERAGE(AM114,AN114)</f>
        <v>0.32361319590489618</v>
      </c>
      <c r="AO111" s="46">
        <f t="shared" ca="1" si="174"/>
        <v>0.33237019860068096</v>
      </c>
      <c r="AP111" s="46">
        <f t="shared" ca="1" si="174"/>
        <v>0.34181789286716929</v>
      </c>
      <c r="AQ111" s="46">
        <f t="shared" ca="1" si="174"/>
        <v>0.35177281925497939</v>
      </c>
      <c r="AR111" s="46">
        <f t="shared" ca="1" si="174"/>
        <v>0.3621075211416489</v>
      </c>
      <c r="AS111" s="46">
        <f t="shared" ca="1" si="174"/>
        <v>0.37273143576506695</v>
      </c>
      <c r="AT111" s="46">
        <f t="shared" ca="1" si="174"/>
        <v>0.38357896312929263</v>
      </c>
      <c r="AU111" s="8" t="s">
        <v>29</v>
      </c>
    </row>
    <row r="112" spans="1:47" ht="7.95" customHeight="1" x14ac:dyDescent="0.3">
      <c r="G112" s="7"/>
      <c r="L112" s="7"/>
      <c r="Q112" s="7"/>
      <c r="V112" s="7"/>
      <c r="AA112" s="7"/>
      <c r="AF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8" t="s">
        <v>29</v>
      </c>
    </row>
    <row r="113" spans="1:47" ht="16.2" customHeight="1" x14ac:dyDescent="0.3">
      <c r="B113" s="6" t="s">
        <v>103</v>
      </c>
      <c r="C113" s="22"/>
      <c r="D113" s="22"/>
      <c r="E113" s="22"/>
      <c r="F113" s="22"/>
      <c r="G113" s="23"/>
      <c r="H113" s="22">
        <f>SUM(D35:F35,H35)*(1-25%)</f>
        <v>35.730518085396042</v>
      </c>
      <c r="I113" s="22">
        <f>SUM(E35:F35,H35:I35)*(1-25%)</f>
        <v>50.349551985396083</v>
      </c>
      <c r="J113" s="22">
        <f>SUM(F35,H35:J35)*(1-25%)</f>
        <v>60.537048180442596</v>
      </c>
      <c r="K113" s="22">
        <f t="shared" ref="K113:AJ113" si="175">SUM(H35:K35)*(1-25%)</f>
        <v>67.77595298787142</v>
      </c>
      <c r="L113" s="23">
        <f>K113</f>
        <v>67.77595298787142</v>
      </c>
      <c r="M113" s="22">
        <f>SUM(I35:K35,M35)*(1-25%)</f>
        <v>82.643799552871485</v>
      </c>
      <c r="N113" s="22">
        <f>SUM(J35:K35,M35:N35)*(1-25%)</f>
        <v>87.712076915371441</v>
      </c>
      <c r="O113" s="22">
        <f>SUM(K35,M35:O35)*(1-25%)</f>
        <v>92.092616300681911</v>
      </c>
      <c r="P113" s="22">
        <f t="shared" si="175"/>
        <v>93.912834714298583</v>
      </c>
      <c r="Q113" s="23">
        <f>P113</f>
        <v>93.912834714298583</v>
      </c>
      <c r="R113" s="22">
        <f>SUM(N35:P35,R35)*(1-25%)</f>
        <v>96.605249296798505</v>
      </c>
      <c r="S113" s="22">
        <f>SUM(O35:P35,R35:S35)*(1-25%)</f>
        <v>104.24918406929865</v>
      </c>
      <c r="T113" s="22">
        <f>SUM(P35,R35:T35)*(1-25%)</f>
        <v>108.26717858394166</v>
      </c>
      <c r="U113" s="22">
        <f t="shared" si="175"/>
        <v>111.53500509000003</v>
      </c>
      <c r="V113" s="23">
        <f>U113</f>
        <v>111.53500509000003</v>
      </c>
      <c r="W113" s="22">
        <f>SUM(S35:U35,W35)*(1-25%)</f>
        <v>113.3002260975</v>
      </c>
      <c r="X113" s="22">
        <f>SUM(T35:U35,W35:X35)*(1-25%)</f>
        <v>114.2199800624999</v>
      </c>
      <c r="Y113" s="22">
        <f>SUM(U35,W35:Y35)*(1-25%)</f>
        <v>115.60649573999987</v>
      </c>
      <c r="Z113" s="22">
        <f t="shared" si="175"/>
        <v>123.15483304499993</v>
      </c>
      <c r="AA113" s="23">
        <f>Z113</f>
        <v>123.15483304499993</v>
      </c>
      <c r="AB113" s="22">
        <f>SUM(X35:Z35,AB35)*(1-25%)</f>
        <v>135.15881044765868</v>
      </c>
      <c r="AC113" s="22">
        <f>SUM(Y35:Z35,AB35:AC35)*(1-25%)</f>
        <v>145.05281044765869</v>
      </c>
      <c r="AD113" s="22">
        <f>SUM(Z35,AB35:AD35)*(1-25%)</f>
        <v>153.07675637023493</v>
      </c>
      <c r="AE113" s="22">
        <f t="shared" si="175"/>
        <v>159.34070125273496</v>
      </c>
      <c r="AF113" s="23">
        <f>AE113</f>
        <v>159.34070125273496</v>
      </c>
      <c r="AG113" s="22">
        <f>SUM(AC35:AE35,AG35)*(1-25%)</f>
        <v>161.98024169507622</v>
      </c>
      <c r="AH113" s="22">
        <f>SUM(AD35:AE35,AG35:AH35)*(1-25%)</f>
        <v>166.83581571432765</v>
      </c>
      <c r="AI113" s="22">
        <f ca="1">SUM(AE35,AG35:AI35)*(1-25%)</f>
        <v>176.01196693987487</v>
      </c>
      <c r="AJ113" s="22">
        <f t="shared" ca="1" si="175"/>
        <v>189.61199553092663</v>
      </c>
      <c r="AK113" s="23">
        <f ca="1">AJ113</f>
        <v>189.61199553092663</v>
      </c>
      <c r="AL113" s="23">
        <f ca="1">AL35*(1-25%)</f>
        <v>223.26856220235317</v>
      </c>
      <c r="AM113" s="23">
        <f ca="1">AM35*(1-25%)</f>
        <v>263.20619994894292</v>
      </c>
      <c r="AN113" s="23">
        <f t="shared" ref="AN113:AT113" ca="1" si="176">AN35*(1-25%)</f>
        <v>308.39623353920467</v>
      </c>
      <c r="AO113" s="23">
        <f t="shared" ca="1" si="176"/>
        <v>359.29004660000908</v>
      </c>
      <c r="AP113" s="23">
        <f t="shared" ca="1" si="176"/>
        <v>416.38032231421198</v>
      </c>
      <c r="AQ113" s="23">
        <f t="shared" ca="1" si="176"/>
        <v>480.20233236271849</v>
      </c>
      <c r="AR113" s="23">
        <f t="shared" ca="1" si="176"/>
        <v>551.3356918618407</v>
      </c>
      <c r="AS113" s="23">
        <f t="shared" ca="1" si="176"/>
        <v>630.4065063196465</v>
      </c>
      <c r="AT113" s="23">
        <f t="shared" ca="1" si="176"/>
        <v>718.08986074280483</v>
      </c>
      <c r="AU113" s="8" t="s">
        <v>29</v>
      </c>
    </row>
    <row r="114" spans="1:47" ht="16.2" customHeight="1" x14ac:dyDescent="0.3">
      <c r="B114" s="6" t="s">
        <v>104</v>
      </c>
      <c r="C114" s="22">
        <f t="shared" ref="C114:E114" si="177">SUM(C115:C117)</f>
        <v>44.669999999999995</v>
      </c>
      <c r="D114" s="22">
        <f t="shared" si="177"/>
        <v>61.900999999999989</v>
      </c>
      <c r="E114" s="22">
        <f t="shared" si="177"/>
        <v>80.301000000000016</v>
      </c>
      <c r="F114" s="22">
        <f>SUM(F115:F117)</f>
        <v>121.1178</v>
      </c>
      <c r="G114" s="23">
        <f>AVERAGE(C114:F114)</f>
        <v>76.997450000000001</v>
      </c>
      <c r="H114" s="22">
        <f>SUM(H115:H117)</f>
        <v>117.73953337760001</v>
      </c>
      <c r="I114" s="22">
        <f t="shared" ref="I114:AJ114" si="178">SUM(I115:I117)</f>
        <v>155.13588823760003</v>
      </c>
      <c r="J114" s="22">
        <f t="shared" si="178"/>
        <v>185.03748309759999</v>
      </c>
      <c r="K114" s="22">
        <f t="shared" si="178"/>
        <v>219.96048703760005</v>
      </c>
      <c r="L114" s="23">
        <f>AVERAGE(F114,H114:K114)</f>
        <v>159.79823835008</v>
      </c>
      <c r="M114" s="22">
        <f t="shared" si="178"/>
        <v>224.80763977760003</v>
      </c>
      <c r="N114" s="22">
        <f t="shared" si="178"/>
        <v>246.04691391760002</v>
      </c>
      <c r="O114" s="22">
        <f t="shared" si="178"/>
        <v>277.81819939760004</v>
      </c>
      <c r="P114" s="22">
        <f t="shared" si="178"/>
        <v>309.93449579759999</v>
      </c>
      <c r="Q114" s="23">
        <f>AVERAGE(K114,M114:P114)</f>
        <v>255.71354718560002</v>
      </c>
      <c r="R114" s="22">
        <f t="shared" si="178"/>
        <v>309.53898051759995</v>
      </c>
      <c r="S114" s="22">
        <f t="shared" si="178"/>
        <v>336.68913413759992</v>
      </c>
      <c r="T114" s="22">
        <f t="shared" si="178"/>
        <v>360.6070591376</v>
      </c>
      <c r="U114" s="22">
        <f t="shared" si="178"/>
        <v>400.47822100759998</v>
      </c>
      <c r="V114" s="23">
        <f>AVERAGE(P114,R114:U114)</f>
        <v>343.44957811960001</v>
      </c>
      <c r="W114" s="22">
        <f t="shared" si="178"/>
        <v>379.03842532760001</v>
      </c>
      <c r="X114" s="22">
        <f t="shared" si="178"/>
        <v>389.19051510759999</v>
      </c>
      <c r="Y114" s="22">
        <f t="shared" si="178"/>
        <v>421.03792287759995</v>
      </c>
      <c r="Z114" s="22">
        <f t="shared" si="178"/>
        <v>499.49056941999993</v>
      </c>
      <c r="AA114" s="23">
        <f>AVERAGE(U114,W114:Z114)</f>
        <v>417.84713074808008</v>
      </c>
      <c r="AB114" s="22">
        <f t="shared" si="178"/>
        <v>473.65238557000004</v>
      </c>
      <c r="AC114" s="22">
        <f t="shared" si="178"/>
        <v>501.72972258999999</v>
      </c>
      <c r="AD114" s="22">
        <f t="shared" si="178"/>
        <v>531.85600000000011</v>
      </c>
      <c r="AE114" s="22">
        <f t="shared" si="178"/>
        <v>589.82455275000007</v>
      </c>
      <c r="AF114" s="23">
        <f>AVERAGE(Z114,AB114:AE114)</f>
        <v>519.31064606599989</v>
      </c>
      <c r="AG114" s="22">
        <f t="shared" si="178"/>
        <v>577.68767944000001</v>
      </c>
      <c r="AH114" s="22">
        <f t="shared" ca="1" si="178"/>
        <v>592.86948151274476</v>
      </c>
      <c r="AI114" s="22">
        <f t="shared" ca="1" si="178"/>
        <v>601.79917761365027</v>
      </c>
      <c r="AJ114" s="22">
        <f t="shared" ca="1" si="178"/>
        <v>669.83959463582221</v>
      </c>
      <c r="AK114" s="23">
        <f ca="1">AVERAGE(AE114,AG114:AJ114)</f>
        <v>606.40409719044351</v>
      </c>
      <c r="AL114" s="23">
        <f ca="1">SUM(AL115:AL117)</f>
        <v>775.65515839442276</v>
      </c>
      <c r="AM114" s="23">
        <f ca="1">SUM(AM115:AM117)</f>
        <v>891.16629739163739</v>
      </c>
      <c r="AN114" s="23">
        <f t="shared" ref="AN114:AT114" ca="1" si="179">SUM(AN115:AN117)</f>
        <v>1014.7895625161058</v>
      </c>
      <c r="AO114" s="23">
        <f t="shared" ca="1" si="179"/>
        <v>1147.1975717857297</v>
      </c>
      <c r="AP114" s="23">
        <f t="shared" ca="1" si="179"/>
        <v>1289.0723310073211</v>
      </c>
      <c r="AQ114" s="23">
        <f t="shared" ca="1" si="179"/>
        <v>1441.1120725502949</v>
      </c>
      <c r="AR114" s="23">
        <f t="shared" ca="1" si="179"/>
        <v>1604.0370042962463</v>
      </c>
      <c r="AS114" s="23">
        <f t="shared" ca="1" si="179"/>
        <v>1778.594272970061</v>
      </c>
      <c r="AT114" s="23">
        <f t="shared" ca="1" si="179"/>
        <v>1965.5623663019364</v>
      </c>
      <c r="AU114" s="8" t="s">
        <v>29</v>
      </c>
    </row>
    <row r="115" spans="1:47" ht="16.2" customHeight="1" x14ac:dyDescent="0.3">
      <c r="B115" s="20" t="s">
        <v>105</v>
      </c>
      <c r="C115" s="22">
        <f t="shared" ref="C115:E116" si="180">C65</f>
        <v>9.81</v>
      </c>
      <c r="D115" s="22">
        <f t="shared" si="180"/>
        <v>9.19</v>
      </c>
      <c r="E115" s="22">
        <f t="shared" si="180"/>
        <v>8.9559999999999995</v>
      </c>
      <c r="F115" s="22">
        <f>F65</f>
        <v>9.2478000000000034</v>
      </c>
      <c r="G115" s="23">
        <f>AVERAGE(C115:F115)</f>
        <v>9.3009500000000003</v>
      </c>
      <c r="H115" s="22">
        <f>H65</f>
        <v>10.589</v>
      </c>
      <c r="I115" s="22">
        <f t="shared" ref="I115:AJ116" si="181">I65</f>
        <v>13.346</v>
      </c>
      <c r="J115" s="22">
        <f t="shared" si="181"/>
        <v>14.095000000000001</v>
      </c>
      <c r="K115" s="22">
        <f t="shared" si="181"/>
        <v>16.234000000000002</v>
      </c>
      <c r="L115" s="23">
        <f>AVERAGE(F115,H115:K115)</f>
        <v>12.702360000000001</v>
      </c>
      <c r="M115" s="22">
        <f t="shared" si="181"/>
        <v>18.957999999999998</v>
      </c>
      <c r="N115" s="22">
        <f t="shared" si="181"/>
        <v>28.922999999999998</v>
      </c>
      <c r="O115" s="22">
        <f t="shared" si="181"/>
        <v>34.936</v>
      </c>
      <c r="P115" s="22">
        <f t="shared" si="181"/>
        <v>40.131</v>
      </c>
      <c r="Q115" s="23">
        <f>AVERAGE(K115,M115:P115)</f>
        <v>27.836399999999998</v>
      </c>
      <c r="R115" s="22">
        <f t="shared" si="181"/>
        <v>42.780999999999999</v>
      </c>
      <c r="S115" s="22">
        <f t="shared" si="181"/>
        <v>46.188000000000002</v>
      </c>
      <c r="T115" s="22">
        <f t="shared" si="181"/>
        <v>48.481000000000002</v>
      </c>
      <c r="U115" s="22">
        <f t="shared" si="181"/>
        <v>52.627000000000002</v>
      </c>
      <c r="V115" s="23">
        <f>AVERAGE(P115,R115:U115)</f>
        <v>46.041600000000003</v>
      </c>
      <c r="W115" s="22">
        <f t="shared" si="181"/>
        <v>56.290999999999997</v>
      </c>
      <c r="X115" s="22">
        <f t="shared" si="181"/>
        <v>62.216999999999999</v>
      </c>
      <c r="Y115" s="22">
        <f t="shared" si="181"/>
        <v>68.710999999999999</v>
      </c>
      <c r="Z115" s="22">
        <f t="shared" si="181"/>
        <v>76.442999999999998</v>
      </c>
      <c r="AA115" s="23">
        <f>AVERAGE(U115,W115:Z115)</f>
        <v>63.257799999999996</v>
      </c>
      <c r="AB115" s="22">
        <f t="shared" si="181"/>
        <v>80.052999999999997</v>
      </c>
      <c r="AC115" s="22">
        <f t="shared" si="181"/>
        <v>83.287999999999997</v>
      </c>
      <c r="AD115" s="22">
        <f t="shared" si="181"/>
        <v>85.789000000000001</v>
      </c>
      <c r="AE115" s="22">
        <f t="shared" si="181"/>
        <v>93.733000000000004</v>
      </c>
      <c r="AF115" s="23">
        <f>AVERAGE(Z115,AB115:AE115)</f>
        <v>83.861199999999997</v>
      </c>
      <c r="AG115" s="22">
        <f t="shared" si="181"/>
        <v>97.552000000000007</v>
      </c>
      <c r="AH115" s="22">
        <f t="shared" ca="1" si="181"/>
        <v>103.91475785435598</v>
      </c>
      <c r="AI115" s="22">
        <f t="shared" ca="1" si="181"/>
        <v>110.46247357135424</v>
      </c>
      <c r="AJ115" s="22">
        <f t="shared" ca="1" si="181"/>
        <v>119.52840584357151</v>
      </c>
      <c r="AK115" s="23">
        <f ca="1">AVERAGE(AE115,AG115:AJ115)</f>
        <v>105.03812745385635</v>
      </c>
      <c r="AL115" s="23">
        <f ca="1">AL65</f>
        <v>146.15951644577012</v>
      </c>
      <c r="AM115" s="23">
        <f ca="1">AM65</f>
        <v>174.032112882169</v>
      </c>
      <c r="AN115" s="23">
        <f t="shared" ref="AN115:AT115" ca="1" si="182">AN65</f>
        <v>203.37085933675777</v>
      </c>
      <c r="AO115" s="23">
        <f t="shared" ca="1" si="182"/>
        <v>234.38953217906788</v>
      </c>
      <c r="AP115" s="23">
        <f t="shared" ca="1" si="182"/>
        <v>267.29449942123989</v>
      </c>
      <c r="AQ115" s="23">
        <f t="shared" ca="1" si="182"/>
        <v>302.28768996176638</v>
      </c>
      <c r="AR115" s="23">
        <f t="shared" ca="1" si="182"/>
        <v>339.56914506262075</v>
      </c>
      <c r="AS115" s="23">
        <f t="shared" ca="1" si="182"/>
        <v>379.33922885273574</v>
      </c>
      <c r="AT115" s="23">
        <f t="shared" ca="1" si="182"/>
        <v>421.80056170229579</v>
      </c>
      <c r="AU115" s="8" t="s">
        <v>29</v>
      </c>
    </row>
    <row r="116" spans="1:47" ht="16.2" customHeight="1" x14ac:dyDescent="0.3">
      <c r="B116" s="20" t="s">
        <v>106</v>
      </c>
      <c r="C116" s="22">
        <f t="shared" si="180"/>
        <v>1.7569999999999999</v>
      </c>
      <c r="D116" s="22">
        <f t="shared" si="180"/>
        <v>1.615</v>
      </c>
      <c r="E116" s="22">
        <f t="shared" si="180"/>
        <v>1.474</v>
      </c>
      <c r="F116" s="22">
        <f>F66</f>
        <v>1.4511999999999998</v>
      </c>
      <c r="G116" s="23">
        <f>AVERAGE(C116:F116)</f>
        <v>1.5743</v>
      </c>
      <c r="H116" s="22">
        <f>H66</f>
        <v>1.8009999999999999</v>
      </c>
      <c r="I116" s="22">
        <f t="shared" si="181"/>
        <v>2.512</v>
      </c>
      <c r="J116" s="22">
        <f t="shared" si="181"/>
        <v>3.7389999999999999</v>
      </c>
      <c r="K116" s="22">
        <f t="shared" si="181"/>
        <v>4.9749999999999996</v>
      </c>
      <c r="L116" s="23">
        <f>AVERAGE(F116,H116:K116)</f>
        <v>2.8956399999999998</v>
      </c>
      <c r="M116" s="22">
        <f t="shared" si="181"/>
        <v>5.9619999999999997</v>
      </c>
      <c r="N116" s="22">
        <f t="shared" si="181"/>
        <v>6.8789999999999996</v>
      </c>
      <c r="O116" s="22">
        <f t="shared" si="181"/>
        <v>9.3659999999999997</v>
      </c>
      <c r="P116" s="22">
        <f t="shared" si="181"/>
        <v>10.948</v>
      </c>
      <c r="Q116" s="23">
        <f>AVERAGE(K116,M116:P116)</f>
        <v>7.6259999999999994</v>
      </c>
      <c r="R116" s="22">
        <f t="shared" si="181"/>
        <v>13.051</v>
      </c>
      <c r="S116" s="22">
        <f t="shared" si="181"/>
        <v>14.651999999999999</v>
      </c>
      <c r="T116" s="22">
        <f t="shared" si="181"/>
        <v>19.827999999999999</v>
      </c>
      <c r="U116" s="22">
        <f t="shared" si="181"/>
        <v>20.686</v>
      </c>
      <c r="V116" s="23">
        <f>AVERAGE(P116,R116:U116)</f>
        <v>15.832999999999998</v>
      </c>
      <c r="W116" s="22">
        <f t="shared" si="181"/>
        <v>24.395</v>
      </c>
      <c r="X116" s="22">
        <f t="shared" si="181"/>
        <v>24.501999999999999</v>
      </c>
      <c r="Y116" s="22">
        <f t="shared" si="181"/>
        <v>25.954999999999998</v>
      </c>
      <c r="Z116" s="22">
        <f t="shared" si="181"/>
        <v>25.02</v>
      </c>
      <c r="AA116" s="23">
        <f>AVERAGE(U116,W116:Z116)</f>
        <v>24.111599999999999</v>
      </c>
      <c r="AB116" s="22">
        <f t="shared" si="181"/>
        <v>26.259</v>
      </c>
      <c r="AC116" s="22">
        <f t="shared" si="181"/>
        <v>28.547000000000001</v>
      </c>
      <c r="AD116" s="22">
        <f t="shared" si="181"/>
        <v>30.393000000000001</v>
      </c>
      <c r="AE116" s="22">
        <f t="shared" si="181"/>
        <v>24.462</v>
      </c>
      <c r="AF116" s="23">
        <f>AVERAGE(Z116,AB116:AE116)</f>
        <v>26.936199999999996</v>
      </c>
      <c r="AG116" s="22">
        <f t="shared" si="181"/>
        <v>26.908000000000001</v>
      </c>
      <c r="AH116" s="22">
        <f t="shared" si="181"/>
        <v>27.629918253310006</v>
      </c>
      <c r="AI116" s="22">
        <f t="shared" si="181"/>
        <v>28.446811446479401</v>
      </c>
      <c r="AJ116" s="22">
        <f t="shared" si="181"/>
        <v>30.129936163285105</v>
      </c>
      <c r="AK116" s="23">
        <f>AVERAGE(AE116,AG116:AJ116)</f>
        <v>27.515333172614902</v>
      </c>
      <c r="AL116" s="23">
        <f>AL66</f>
        <v>35.932827153790754</v>
      </c>
      <c r="AM116" s="23">
        <f>AM66</f>
        <v>42.034054184600265</v>
      </c>
      <c r="AN116" s="23">
        <f t="shared" ref="AN116:AT116" si="183">AN66</f>
        <v>48.501144173855096</v>
      </c>
      <c r="AO116" s="23">
        <f t="shared" si="183"/>
        <v>55.391416833368091</v>
      </c>
      <c r="AP116" s="23">
        <f t="shared" si="183"/>
        <v>62.755628293710018</v>
      </c>
      <c r="AQ116" s="23">
        <f t="shared" si="183"/>
        <v>70.640554627271882</v>
      </c>
      <c r="AR116" s="23">
        <f t="shared" si="183"/>
        <v>79.090834767415771</v>
      </c>
      <c r="AS116" s="23">
        <f t="shared" si="183"/>
        <v>88.150296636408754</v>
      </c>
      <c r="AT116" s="23">
        <f t="shared" si="183"/>
        <v>97.862923297603231</v>
      </c>
      <c r="AU116" s="8" t="s">
        <v>29</v>
      </c>
    </row>
    <row r="117" spans="1:47" ht="16.2" customHeight="1" x14ac:dyDescent="0.3">
      <c r="B117" s="20" t="s">
        <v>107</v>
      </c>
      <c r="C117" s="33">
        <f t="shared" ref="C117:E117" si="184">C287</f>
        <v>33.102999999999994</v>
      </c>
      <c r="D117" s="33">
        <f t="shared" si="184"/>
        <v>51.095999999999989</v>
      </c>
      <c r="E117" s="33">
        <f t="shared" si="184"/>
        <v>69.871000000000009</v>
      </c>
      <c r="F117" s="33">
        <f>F287</f>
        <v>110.4188</v>
      </c>
      <c r="G117" s="34">
        <f>AVERAGE(C117:F117)</f>
        <v>66.122199999999992</v>
      </c>
      <c r="H117" s="33">
        <f>H287</f>
        <v>105.34953337760001</v>
      </c>
      <c r="I117" s="33">
        <f t="shared" ref="I117:AJ117" si="185">I287</f>
        <v>139.27788823760002</v>
      </c>
      <c r="J117" s="33">
        <f t="shared" si="185"/>
        <v>167.20348309759999</v>
      </c>
      <c r="K117" s="33">
        <f t="shared" si="185"/>
        <v>198.75148703760004</v>
      </c>
      <c r="L117" s="34">
        <f>AVERAGE(F117,H117:K117)</f>
        <v>144.20023835008001</v>
      </c>
      <c r="M117" s="33">
        <f t="shared" si="185"/>
        <v>199.88763977760004</v>
      </c>
      <c r="N117" s="33">
        <f t="shared" si="185"/>
        <v>210.24491391760003</v>
      </c>
      <c r="O117" s="33">
        <f t="shared" si="185"/>
        <v>233.51619939760002</v>
      </c>
      <c r="P117" s="33">
        <f t="shared" si="185"/>
        <v>258.85549579759999</v>
      </c>
      <c r="Q117" s="34">
        <f>AVERAGE(K117,M117:P117)</f>
        <v>220.25114718560002</v>
      </c>
      <c r="R117" s="33">
        <f t="shared" si="185"/>
        <v>253.70698051759996</v>
      </c>
      <c r="S117" s="33">
        <f t="shared" si="185"/>
        <v>275.84913413759995</v>
      </c>
      <c r="T117" s="33">
        <f t="shared" si="185"/>
        <v>292.29805913759998</v>
      </c>
      <c r="U117" s="33">
        <f t="shared" si="185"/>
        <v>327.1652210076</v>
      </c>
      <c r="V117" s="34">
        <f>AVERAGE(P117,R117:U117)</f>
        <v>281.57497811959996</v>
      </c>
      <c r="W117" s="33">
        <f t="shared" si="185"/>
        <v>298.35242532760003</v>
      </c>
      <c r="X117" s="33">
        <f t="shared" si="185"/>
        <v>302.4715151076</v>
      </c>
      <c r="Y117" s="33">
        <f t="shared" si="185"/>
        <v>326.37192287759996</v>
      </c>
      <c r="Z117" s="33">
        <f t="shared" si="185"/>
        <v>398.02756941999996</v>
      </c>
      <c r="AA117" s="34">
        <f>AVERAGE(U117,W117:Z117)</f>
        <v>330.47773074807998</v>
      </c>
      <c r="AB117" s="33">
        <f t="shared" si="185"/>
        <v>367.34038557000002</v>
      </c>
      <c r="AC117" s="33">
        <f t="shared" si="185"/>
        <v>389.89472259000001</v>
      </c>
      <c r="AD117" s="33">
        <f t="shared" si="185"/>
        <v>415.67400000000009</v>
      </c>
      <c r="AE117" s="33">
        <f t="shared" si="185"/>
        <v>471.62955275000002</v>
      </c>
      <c r="AF117" s="34">
        <f>AVERAGE(Z117,AB117:AE117)</f>
        <v>408.51324606600002</v>
      </c>
      <c r="AG117" s="33">
        <f t="shared" si="185"/>
        <v>453.22767943999997</v>
      </c>
      <c r="AH117" s="33">
        <f t="shared" si="185"/>
        <v>461.32480540507873</v>
      </c>
      <c r="AI117" s="33">
        <f t="shared" si="185"/>
        <v>462.8898925958166</v>
      </c>
      <c r="AJ117" s="33">
        <f t="shared" si="185"/>
        <v>520.18125262896558</v>
      </c>
      <c r="AK117" s="34">
        <f>AVERAGE(AE117,AG117:AJ117)</f>
        <v>473.85063656397216</v>
      </c>
      <c r="AL117" s="34">
        <f>AL287</f>
        <v>593.56281479486188</v>
      </c>
      <c r="AM117" s="34">
        <f>AM287</f>
        <v>675.10013032486813</v>
      </c>
      <c r="AN117" s="34">
        <f t="shared" ref="AN117:AT117" si="186">AN287</f>
        <v>762.91755900549288</v>
      </c>
      <c r="AO117" s="34">
        <f t="shared" si="186"/>
        <v>857.41662277329374</v>
      </c>
      <c r="AP117" s="34">
        <f t="shared" si="186"/>
        <v>959.02220329237116</v>
      </c>
      <c r="AQ117" s="34">
        <f t="shared" si="186"/>
        <v>1068.1838279612566</v>
      </c>
      <c r="AR117" s="34">
        <f t="shared" si="186"/>
        <v>1185.3770244662098</v>
      </c>
      <c r="AS117" s="34">
        <f t="shared" si="186"/>
        <v>1311.1047474809163</v>
      </c>
      <c r="AT117" s="34">
        <f t="shared" si="186"/>
        <v>1445.8988813020374</v>
      </c>
      <c r="AU117" s="8" t="s">
        <v>29</v>
      </c>
    </row>
    <row r="118" spans="1:47" ht="7.95" customHeight="1" x14ac:dyDescent="0.3">
      <c r="G118" s="7"/>
      <c r="L118" s="7"/>
      <c r="Q118" s="7"/>
      <c r="V118" s="7"/>
      <c r="AA118" s="7"/>
      <c r="AF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8" t="s">
        <v>29</v>
      </c>
    </row>
    <row r="119" spans="1:47" ht="16.2" customHeight="1" x14ac:dyDescent="0.3">
      <c r="B119" s="5" t="s">
        <v>108</v>
      </c>
      <c r="C119" s="5"/>
      <c r="D119" s="5"/>
      <c r="E119" s="5"/>
      <c r="F119" s="5"/>
      <c r="G119" s="44"/>
      <c r="H119" s="5"/>
      <c r="I119" s="45"/>
      <c r="J119" s="45"/>
      <c r="K119" s="45"/>
      <c r="L119" s="46"/>
      <c r="M119" s="45">
        <f t="shared" ref="M119:AJ119" si="187">M120/M121</f>
        <v>0.49180327535684754</v>
      </c>
      <c r="N119" s="45">
        <f t="shared" si="187"/>
        <v>0.3775569839166924</v>
      </c>
      <c r="O119" s="45">
        <f t="shared" si="187"/>
        <v>0.31916930424610057</v>
      </c>
      <c r="P119" s="45">
        <f t="shared" si="187"/>
        <v>0.27249958368218247</v>
      </c>
      <c r="Q119" s="46">
        <f>P119</f>
        <v>0.27249958368218247</v>
      </c>
      <c r="R119" s="45">
        <f t="shared" si="187"/>
        <v>0.14997307862666862</v>
      </c>
      <c r="S119" s="45">
        <f t="shared" si="187"/>
        <v>0.18413874601891814</v>
      </c>
      <c r="T119" s="45">
        <f t="shared" si="187"/>
        <v>0.18341952041102841</v>
      </c>
      <c r="U119" s="45">
        <f t="shared" si="187"/>
        <v>0.20085442876892665</v>
      </c>
      <c r="V119" s="46">
        <f>U119</f>
        <v>0.20085442876892665</v>
      </c>
      <c r="W119" s="45">
        <f t="shared" si="187"/>
        <v>0.1996025061735634</v>
      </c>
      <c r="X119" s="45">
        <f t="shared" si="187"/>
        <v>0.12916354289855264</v>
      </c>
      <c r="Y119" s="45">
        <f t="shared" si="187"/>
        <v>0.10314859701683052</v>
      </c>
      <c r="Z119" s="45">
        <f t="shared" si="187"/>
        <v>0.15618562095753305</v>
      </c>
      <c r="AA119" s="46">
        <f>Z119</f>
        <v>0.15618562095753305</v>
      </c>
      <c r="AB119" s="45">
        <f t="shared" si="187"/>
        <v>0.29062783475221193</v>
      </c>
      <c r="AC119" s="45">
        <f t="shared" si="187"/>
        <v>0.36784771079223444</v>
      </c>
      <c r="AD119" s="45">
        <f t="shared" si="187"/>
        <v>0.39242905279538315</v>
      </c>
      <c r="AE119" s="45">
        <f t="shared" si="187"/>
        <v>0.35663921257165548</v>
      </c>
      <c r="AF119" s="46">
        <f>AE119</f>
        <v>0.35663921257165548</v>
      </c>
      <c r="AG119" s="45">
        <f t="shared" si="187"/>
        <v>0.26175395165157911</v>
      </c>
      <c r="AH119" s="45">
        <f t="shared" ca="1" si="187"/>
        <v>0.21403465290771251</v>
      </c>
      <c r="AI119" s="45">
        <f t="shared" ca="1" si="187"/>
        <v>0.24594329747448612</v>
      </c>
      <c r="AJ119" s="45">
        <f t="shared" ca="1" si="187"/>
        <v>0.34757256587453961</v>
      </c>
      <c r="AK119" s="46">
        <f ca="1">AJ119</f>
        <v>0.34757256587453961</v>
      </c>
      <c r="AL119" s="46">
        <f ca="1">AL120/AL121</f>
        <v>0.19885586791603074</v>
      </c>
      <c r="AM119" s="46">
        <f ca="1">AM120/AM121</f>
        <v>0.3457470690125633</v>
      </c>
      <c r="AN119" s="46">
        <f t="shared" ref="AN119:AT119" ca="1" si="188">AN120/AN121</f>
        <v>0.36554635201361801</v>
      </c>
      <c r="AO119" s="46">
        <f t="shared" ca="1" si="188"/>
        <v>0.3843711067143134</v>
      </c>
      <c r="AP119" s="46">
        <f t="shared" ca="1" si="188"/>
        <v>0.40239910204911594</v>
      </c>
      <c r="AQ119" s="46">
        <f t="shared" ca="1" si="188"/>
        <v>0.41977189253815789</v>
      </c>
      <c r="AR119" s="46">
        <f t="shared" ca="1" si="188"/>
        <v>0.43660205185809337</v>
      </c>
      <c r="AS119" s="46">
        <f t="shared" ca="1" si="188"/>
        <v>0.45297921454970164</v>
      </c>
      <c r="AT119" s="46">
        <f t="shared" ca="1" si="188"/>
        <v>0.46897496177338155</v>
      </c>
      <c r="AU119" s="8" t="s">
        <v>29</v>
      </c>
    </row>
    <row r="120" spans="1:47" ht="16.2" customHeight="1" x14ac:dyDescent="0.3">
      <c r="B120" s="20" t="s">
        <v>109</v>
      </c>
      <c r="G120" s="7"/>
      <c r="I120" s="33"/>
      <c r="J120" s="33"/>
      <c r="K120" s="33"/>
      <c r="L120" s="34"/>
      <c r="M120" s="33">
        <f t="shared" ref="M120:P120" si="189">M113-H113</f>
        <v>46.913281467475443</v>
      </c>
      <c r="N120" s="33">
        <f t="shared" si="189"/>
        <v>37.362524929975358</v>
      </c>
      <c r="O120" s="33">
        <f t="shared" si="189"/>
        <v>31.555568120239315</v>
      </c>
      <c r="P120" s="33">
        <f t="shared" si="189"/>
        <v>26.136881726427163</v>
      </c>
      <c r="Q120" s="34">
        <f>P120</f>
        <v>26.136881726427163</v>
      </c>
      <c r="R120" s="33">
        <f t="shared" ref="R120:U120" si="190">R113-M113</f>
        <v>13.96144974392702</v>
      </c>
      <c r="S120" s="33">
        <f t="shared" si="190"/>
        <v>16.537107153927209</v>
      </c>
      <c r="T120" s="33">
        <f t="shared" si="190"/>
        <v>16.174562283259746</v>
      </c>
      <c r="U120" s="33">
        <f t="shared" si="190"/>
        <v>17.622170375701444</v>
      </c>
      <c r="V120" s="34">
        <f>U120</f>
        <v>17.622170375701444</v>
      </c>
      <c r="W120" s="33">
        <f t="shared" ref="W120:Z120" si="191">W113-R113</f>
        <v>16.694976800701497</v>
      </c>
      <c r="X120" s="33">
        <f t="shared" si="191"/>
        <v>9.97079599320125</v>
      </c>
      <c r="Y120" s="33">
        <f t="shared" si="191"/>
        <v>7.3393171560582147</v>
      </c>
      <c r="Z120" s="33">
        <f t="shared" si="191"/>
        <v>11.619827954999906</v>
      </c>
      <c r="AA120" s="34">
        <f>Z120</f>
        <v>11.619827954999906</v>
      </c>
      <c r="AB120" s="33">
        <f t="shared" ref="AB120:AE120" si="192">AB113-W113</f>
        <v>21.858584350158679</v>
      </c>
      <c r="AC120" s="33">
        <f t="shared" si="192"/>
        <v>30.832830385158786</v>
      </c>
      <c r="AD120" s="33">
        <f t="shared" si="192"/>
        <v>37.47026063023506</v>
      </c>
      <c r="AE120" s="33">
        <f t="shared" si="192"/>
        <v>36.185868207735027</v>
      </c>
      <c r="AF120" s="34">
        <f>AE120</f>
        <v>36.185868207735027</v>
      </c>
      <c r="AG120" s="33">
        <f t="shared" ref="AG120:AJ120" si="193">AG113-AB113</f>
        <v>26.821431247417536</v>
      </c>
      <c r="AH120" s="33">
        <f t="shared" si="193"/>
        <v>21.783005266668965</v>
      </c>
      <c r="AI120" s="33">
        <f t="shared" ca="1" si="193"/>
        <v>22.935210569639935</v>
      </c>
      <c r="AJ120" s="33">
        <f t="shared" ca="1" si="193"/>
        <v>30.271294278191675</v>
      </c>
      <c r="AK120" s="34">
        <f ca="1">AJ120</f>
        <v>30.271294278191675</v>
      </c>
      <c r="AL120" s="34">
        <f ca="1">AL113-AK113</f>
        <v>33.656566671426532</v>
      </c>
      <c r="AM120" s="34">
        <f ca="1">AM113-AL113</f>
        <v>39.937637746589758</v>
      </c>
      <c r="AN120" s="34">
        <f t="shared" ref="AN120:AT120" ca="1" si="194">AN113-AM113</f>
        <v>45.190033590261748</v>
      </c>
      <c r="AO120" s="34">
        <f t="shared" ca="1" si="194"/>
        <v>50.893813060804405</v>
      </c>
      <c r="AP120" s="34">
        <f t="shared" ca="1" si="194"/>
        <v>57.090275714202903</v>
      </c>
      <c r="AQ120" s="34">
        <f t="shared" ca="1" si="194"/>
        <v>63.822010048506513</v>
      </c>
      <c r="AR120" s="34">
        <f t="shared" ca="1" si="194"/>
        <v>71.133359499122207</v>
      </c>
      <c r="AS120" s="34">
        <f t="shared" ca="1" si="194"/>
        <v>79.070814457805795</v>
      </c>
      <c r="AT120" s="34">
        <f t="shared" ca="1" si="194"/>
        <v>87.683354423158335</v>
      </c>
      <c r="AU120" s="8" t="s">
        <v>29</v>
      </c>
    </row>
    <row r="121" spans="1:47" ht="16.2" customHeight="1" x14ac:dyDescent="0.3">
      <c r="B121" s="20" t="s">
        <v>110</v>
      </c>
      <c r="G121" s="7"/>
      <c r="I121" s="33"/>
      <c r="J121" s="33"/>
      <c r="K121" s="33"/>
      <c r="L121" s="34"/>
      <c r="M121" s="33">
        <f>AVERAGE(H114:K114,M114)-AVERAGE(C114:F114,H114)</f>
        <v>95.390339630080007</v>
      </c>
      <c r="N121" s="33">
        <f>AVERAGE(I114:K114,M114:N114)-AVERAGE(D114:F114,H114:I114)</f>
        <v>98.958638090560029</v>
      </c>
      <c r="O121" s="33">
        <f>AVERAGE(J114:K114,M114:O114)-AVERAGE(E114:F114,H114:J114)</f>
        <v>98.867803703039982</v>
      </c>
      <c r="P121" s="33">
        <f>AVERAGE(K114,M114:P114)-AVERAGE(F114,H114:K114)</f>
        <v>95.915308835520023</v>
      </c>
      <c r="Q121" s="34">
        <f>P121</f>
        <v>95.915308835520023</v>
      </c>
      <c r="R121" s="33">
        <f>AVERAGE(M114:P114,R114)-AVERAGE(H114:K114,M114)</f>
        <v>93.093039575999995</v>
      </c>
      <c r="S121" s="33">
        <f>AVERAGE(N114:P114,R114:S114)-AVERAGE(I114:K114,M114:N114)</f>
        <v>89.807862339999929</v>
      </c>
      <c r="T121" s="33">
        <f>AVERAGE(O114:P114,R114:T114)-AVERAGE(J114:K114,M114:O114)</f>
        <v>88.183429152000031</v>
      </c>
      <c r="U121" s="33">
        <f>AVERAGE(P114,R114:U114)-AVERAGE(K114,M114:P114)</f>
        <v>87.736030933999984</v>
      </c>
      <c r="V121" s="34">
        <f>U121</f>
        <v>87.736030933999984</v>
      </c>
      <c r="W121" s="33">
        <f>AVERAGE(R114:U114,W114)-AVERAGE(M114:P114,R114)</f>
        <v>83.641118143999961</v>
      </c>
      <c r="X121" s="33">
        <f>AVERAGE(S114:U114,W114:X114)-AVERAGE(N114:P114,R114:S114)</f>
        <v>77.195126189999996</v>
      </c>
      <c r="Y121" s="33">
        <f>AVERAGE(T114:U114,W114:Y114)-AVERAGE(O114:P114,R114:T114)</f>
        <v>71.152854893999915</v>
      </c>
      <c r="Z121" s="33">
        <f>AVERAGE(U114,W114:Z114)-AVERAGE(P114,R114:U114)</f>
        <v>74.397552628480071</v>
      </c>
      <c r="AA121" s="34">
        <f>Z121</f>
        <v>74.397552628480071</v>
      </c>
      <c r="AB121" s="33">
        <f>AVERAGE(W114:Z114,AB114)-AVERAGE(R114:U114,W114)</f>
        <v>75.21159963496001</v>
      </c>
      <c r="AC121" s="33">
        <f>AVERAGE(X114:Z114,AB114:AC114)-AVERAGE(S114:U114,W114:X114)</f>
        <v>83.819552169440044</v>
      </c>
      <c r="AD121" s="33">
        <f>AVERAGE(Y114:Z114,AB114:AD114)-AVERAGE(T114:U114,W114:Y114)</f>
        <v>95.482891399920049</v>
      </c>
      <c r="AE121" s="33">
        <f>AVERAGE(Z114,AB114:AE114)-AVERAGE(U114,W114:Z114)</f>
        <v>101.46351531791981</v>
      </c>
      <c r="AF121" s="34">
        <f>AE121</f>
        <v>101.46351531791981</v>
      </c>
      <c r="AG121" s="33">
        <f>AVERAGE(AB114:AE114,AG114)-AVERAGE(W114:Z114,AB114)</f>
        <v>102.46810440944006</v>
      </c>
      <c r="AH121" s="33">
        <f ca="1">AVERAGE(AC114:AE114,AG114:AH114)-AVERAGE(X114:Z114,AB114:AC114)</f>
        <v>101.77326414550902</v>
      </c>
      <c r="AI121" s="33">
        <f ca="1">AVERAGE(AD114:AE114,AG114:AI114)-AVERAGE(Y114:Z114,AB114:AD114)</f>
        <v>93.254058171758913</v>
      </c>
      <c r="AJ121" s="33">
        <f ca="1">AVERAGE(AE114,AG114:AJ114)-AVERAGE(Z114,AB114:AE114)</f>
        <v>87.093451124443618</v>
      </c>
      <c r="AK121" s="34">
        <f ca="1">AJ121</f>
        <v>87.093451124443618</v>
      </c>
      <c r="AL121" s="34">
        <f ca="1">AL114-AK114</f>
        <v>169.25106120397925</v>
      </c>
      <c r="AM121" s="34">
        <f ca="1">AM114-AL114</f>
        <v>115.51113899721463</v>
      </c>
      <c r="AN121" s="34">
        <f t="shared" ref="AN121:AT121" ca="1" si="195">AN114-AM114</f>
        <v>123.62326512446839</v>
      </c>
      <c r="AO121" s="34">
        <f t="shared" ca="1" si="195"/>
        <v>132.4080092696239</v>
      </c>
      <c r="AP121" s="34">
        <f t="shared" ca="1" si="195"/>
        <v>141.87475922159138</v>
      </c>
      <c r="AQ121" s="34">
        <f t="shared" ca="1" si="195"/>
        <v>152.03974154297384</v>
      </c>
      <c r="AR121" s="34">
        <f t="shared" ca="1" si="195"/>
        <v>162.92493174595143</v>
      </c>
      <c r="AS121" s="34">
        <f t="shared" ca="1" si="195"/>
        <v>174.55726867381463</v>
      </c>
      <c r="AT121" s="34">
        <f t="shared" ca="1" si="195"/>
        <v>186.96809333187548</v>
      </c>
      <c r="AU121" s="8" t="s">
        <v>29</v>
      </c>
    </row>
    <row r="122" spans="1:47" ht="7.95" customHeight="1" x14ac:dyDescent="0.3">
      <c r="G122" s="7"/>
      <c r="L122" s="7"/>
      <c r="Q122" s="7"/>
      <c r="V122" s="7"/>
      <c r="AA122" s="7"/>
      <c r="AF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8" t="s">
        <v>29</v>
      </c>
    </row>
    <row r="123" spans="1:47" ht="16.2" customHeight="1" x14ac:dyDescent="0.3">
      <c r="A123" s="9" t="s">
        <v>30</v>
      </c>
      <c r="B123" s="10" t="s">
        <v>111</v>
      </c>
      <c r="C123" s="11"/>
      <c r="D123" s="11"/>
      <c r="E123" s="11"/>
      <c r="F123" s="11"/>
      <c r="G123" s="12"/>
      <c r="H123" s="11"/>
      <c r="I123" s="11"/>
      <c r="J123" s="11"/>
      <c r="K123" s="11"/>
      <c r="L123" s="12"/>
      <c r="M123" s="11"/>
      <c r="N123" s="11"/>
      <c r="O123" s="11"/>
      <c r="P123" s="11"/>
      <c r="Q123" s="12"/>
      <c r="R123" s="11"/>
      <c r="S123" s="11"/>
      <c r="T123" s="11"/>
      <c r="U123" s="11"/>
      <c r="V123" s="12"/>
      <c r="W123" s="11"/>
      <c r="X123" s="11"/>
      <c r="Y123" s="11"/>
      <c r="Z123" s="11"/>
      <c r="AA123" s="12"/>
      <c r="AB123" s="11"/>
      <c r="AC123" s="11"/>
      <c r="AD123" s="11"/>
      <c r="AE123" s="11"/>
      <c r="AF123" s="12"/>
      <c r="AG123" s="11"/>
      <c r="AH123" s="11"/>
      <c r="AI123" s="11"/>
      <c r="AJ123" s="11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8" t="s">
        <v>29</v>
      </c>
    </row>
    <row r="124" spans="1:47" ht="7.95" customHeight="1" x14ac:dyDescent="0.3">
      <c r="G124" s="7"/>
      <c r="L124" s="7"/>
      <c r="Q124" s="7"/>
      <c r="V124" s="7"/>
      <c r="AA124" s="7"/>
      <c r="AF124" s="7"/>
      <c r="AK124" s="103"/>
      <c r="AL124" s="7"/>
      <c r="AM124" s="7"/>
      <c r="AN124" s="7"/>
      <c r="AO124" s="7"/>
      <c r="AP124" s="7"/>
      <c r="AQ124" s="7"/>
      <c r="AR124" s="7"/>
      <c r="AS124" s="7"/>
      <c r="AT124" s="7"/>
      <c r="AU124" s="8" t="s">
        <v>29</v>
      </c>
    </row>
    <row r="125" spans="1:47" ht="16.2" customHeight="1" x14ac:dyDescent="0.3">
      <c r="B125" s="5" t="s">
        <v>112</v>
      </c>
      <c r="C125" s="28">
        <f>C127-C126</f>
        <v>48.900000000000006</v>
      </c>
      <c r="D125" s="28">
        <f t="shared" ref="D125:AJ125" si="196">D127-D126</f>
        <v>57.520999999999987</v>
      </c>
      <c r="E125" s="28">
        <f t="shared" si="196"/>
        <v>67.259</v>
      </c>
      <c r="F125" s="28">
        <f t="shared" si="196"/>
        <v>-82.941999999999993</v>
      </c>
      <c r="G125" s="29">
        <f>F125</f>
        <v>-82.941999999999993</v>
      </c>
      <c r="H125" s="28">
        <f t="shared" si="196"/>
        <v>-79.863</v>
      </c>
      <c r="I125" s="28">
        <f t="shared" si="196"/>
        <v>-63.421999999999997</v>
      </c>
      <c r="J125" s="28">
        <f t="shared" si="196"/>
        <v>-63.2</v>
      </c>
      <c r="K125" s="28">
        <f t="shared" si="196"/>
        <v>-56.89</v>
      </c>
      <c r="L125" s="29">
        <f>K125</f>
        <v>-56.89</v>
      </c>
      <c r="M125" s="28">
        <f t="shared" si="196"/>
        <v>-64.477999999999994</v>
      </c>
      <c r="N125" s="28">
        <f t="shared" si="196"/>
        <v>-60.670999999999999</v>
      </c>
      <c r="O125" s="28">
        <f t="shared" si="196"/>
        <v>-44.697000000000003</v>
      </c>
      <c r="P125" s="28">
        <f t="shared" si="196"/>
        <v>-36.805999999999997</v>
      </c>
      <c r="Q125" s="29">
        <f>P125</f>
        <v>-36.805999999999997</v>
      </c>
      <c r="R125" s="28">
        <f t="shared" si="196"/>
        <v>-36.179000000000002</v>
      </c>
      <c r="S125" s="28">
        <f t="shared" si="196"/>
        <v>-29.540000000000003</v>
      </c>
      <c r="T125" s="28">
        <f t="shared" si="196"/>
        <v>-30.702000000000002</v>
      </c>
      <c r="U125" s="28">
        <f t="shared" si="196"/>
        <v>-27.003999999999998</v>
      </c>
      <c r="V125" s="29">
        <f>U125</f>
        <v>-27.003999999999998</v>
      </c>
      <c r="W125" s="28">
        <f t="shared" si="196"/>
        <v>-49.066000000000003</v>
      </c>
      <c r="X125" s="28">
        <f t="shared" si="196"/>
        <v>-54.661000000000001</v>
      </c>
      <c r="Y125" s="28">
        <f t="shared" si="196"/>
        <v>-29.053000000000001</v>
      </c>
      <c r="Z125" s="28">
        <f t="shared" si="196"/>
        <v>5.3659999999999997</v>
      </c>
      <c r="AA125" s="29">
        <f>Z125</f>
        <v>5.3659999999999997</v>
      </c>
      <c r="AB125" s="28">
        <f t="shared" si="196"/>
        <v>-14.219000000000001</v>
      </c>
      <c r="AC125" s="28">
        <f t="shared" si="196"/>
        <v>-6.5640000000000001</v>
      </c>
      <c r="AD125" s="28">
        <f t="shared" si="196"/>
        <v>5.7929999999999993</v>
      </c>
      <c r="AE125" s="28">
        <f t="shared" si="196"/>
        <v>0.49099999999999966</v>
      </c>
      <c r="AF125" s="29">
        <f>AE125</f>
        <v>0.49099999999999966</v>
      </c>
      <c r="AG125" s="28">
        <f t="shared" si="196"/>
        <v>-14.764000000000003</v>
      </c>
      <c r="AH125" s="28">
        <f t="shared" ca="1" si="196"/>
        <v>-14.764000000000003</v>
      </c>
      <c r="AI125" s="28">
        <f t="shared" ca="1" si="196"/>
        <v>-14.764000000000003</v>
      </c>
      <c r="AJ125" s="28">
        <f t="shared" ca="1" si="196"/>
        <v>-9.1271863068851076</v>
      </c>
      <c r="AK125" s="104">
        <f ca="1">AJ125</f>
        <v>-9.1271863068851076</v>
      </c>
      <c r="AL125" s="29">
        <f ca="1">AL127-AL126</f>
        <v>-9.1271863068851076</v>
      </c>
      <c r="AM125" s="29">
        <f ca="1">AM127-AM126</f>
        <v>-9.1271863068851076</v>
      </c>
      <c r="AN125" s="29">
        <f t="shared" ref="AN125:AT125" ca="1" si="197">AN127-AN126</f>
        <v>-9.1271863068851076</v>
      </c>
      <c r="AO125" s="29">
        <f t="shared" ca="1" si="197"/>
        <v>-9.1271863068851076</v>
      </c>
      <c r="AP125" s="29">
        <f t="shared" ca="1" si="197"/>
        <v>-9.1271863068851076</v>
      </c>
      <c r="AQ125" s="29">
        <f t="shared" ca="1" si="197"/>
        <v>-9.1271863068851076</v>
      </c>
      <c r="AR125" s="29">
        <f t="shared" ca="1" si="197"/>
        <v>-9.1271863068851076</v>
      </c>
      <c r="AS125" s="29">
        <f t="shared" ca="1" si="197"/>
        <v>-9.1271863068851076</v>
      </c>
      <c r="AT125" s="29">
        <f t="shared" ca="1" si="197"/>
        <v>-9.1271863068851076</v>
      </c>
      <c r="AU125" s="8" t="s">
        <v>29</v>
      </c>
    </row>
    <row r="126" spans="1:47" ht="16.2" customHeight="1" x14ac:dyDescent="0.3">
      <c r="B126" s="20" t="s">
        <v>113</v>
      </c>
      <c r="C126" s="22">
        <f t="shared" ref="C126:AG126" si="198">C54</f>
        <v>74.394999999999996</v>
      </c>
      <c r="D126" s="22">
        <f t="shared" si="198"/>
        <v>86.768000000000001</v>
      </c>
      <c r="E126" s="22">
        <f t="shared" si="198"/>
        <v>77.260000000000005</v>
      </c>
      <c r="F126" s="22">
        <f t="shared" si="198"/>
        <v>89.076999999999998</v>
      </c>
      <c r="G126" s="23">
        <f>F126</f>
        <v>89.076999999999998</v>
      </c>
      <c r="H126" s="22">
        <f t="shared" si="198"/>
        <v>85.998000000000005</v>
      </c>
      <c r="I126" s="22">
        <f t="shared" si="198"/>
        <v>63.421999999999997</v>
      </c>
      <c r="J126" s="22">
        <f t="shared" si="198"/>
        <v>63.2</v>
      </c>
      <c r="K126" s="22">
        <f t="shared" si="198"/>
        <v>66.771000000000001</v>
      </c>
      <c r="L126" s="23">
        <f>K126</f>
        <v>66.771000000000001</v>
      </c>
      <c r="M126" s="22">
        <f t="shared" si="198"/>
        <v>74.358999999999995</v>
      </c>
      <c r="N126" s="22">
        <f t="shared" si="198"/>
        <v>60.670999999999999</v>
      </c>
      <c r="O126" s="22">
        <f t="shared" si="198"/>
        <v>53.347000000000001</v>
      </c>
      <c r="P126" s="22">
        <f t="shared" si="198"/>
        <v>60.488999999999997</v>
      </c>
      <c r="Q126" s="23">
        <f>P126</f>
        <v>60.488999999999997</v>
      </c>
      <c r="R126" s="22">
        <f t="shared" si="198"/>
        <v>63.286000000000001</v>
      </c>
      <c r="S126" s="22">
        <f t="shared" si="198"/>
        <v>39.929000000000002</v>
      </c>
      <c r="T126" s="22">
        <f t="shared" si="198"/>
        <v>46.274000000000001</v>
      </c>
      <c r="U126" s="22">
        <f t="shared" si="198"/>
        <v>54.476999999999997</v>
      </c>
      <c r="V126" s="23">
        <f>U126</f>
        <v>54.476999999999997</v>
      </c>
      <c r="W126" s="22">
        <f t="shared" si="198"/>
        <v>82.179000000000002</v>
      </c>
      <c r="X126" s="22">
        <f t="shared" si="198"/>
        <v>66.988</v>
      </c>
      <c r="Y126" s="22">
        <f t="shared" si="198"/>
        <v>47.356999999999999</v>
      </c>
      <c r="Z126" s="22">
        <f t="shared" si="198"/>
        <v>23.41</v>
      </c>
      <c r="AA126" s="23">
        <f>Z126</f>
        <v>23.41</v>
      </c>
      <c r="AB126" s="22">
        <f t="shared" si="198"/>
        <v>50.44</v>
      </c>
      <c r="AC126" s="22">
        <f t="shared" si="198"/>
        <v>23.673999999999999</v>
      </c>
      <c r="AD126" s="22">
        <f t="shared" si="198"/>
        <v>20.658000000000001</v>
      </c>
      <c r="AE126" s="22">
        <f t="shared" si="198"/>
        <v>35.255000000000003</v>
      </c>
      <c r="AF126" s="23">
        <f>AE126</f>
        <v>35.255000000000003</v>
      </c>
      <c r="AG126" s="22">
        <f t="shared" si="198"/>
        <v>63.637</v>
      </c>
      <c r="AH126" s="31">
        <f>AG126</f>
        <v>63.637</v>
      </c>
      <c r="AI126" s="31">
        <f t="shared" ref="AI126:AJ126" si="199">AH126</f>
        <v>63.637</v>
      </c>
      <c r="AJ126" s="31">
        <f t="shared" si="199"/>
        <v>63.637</v>
      </c>
      <c r="AK126" s="105">
        <f>AJ126</f>
        <v>63.637</v>
      </c>
      <c r="AL126" s="32">
        <f>AK126</f>
        <v>63.637</v>
      </c>
      <c r="AM126" s="32">
        <f>AL126</f>
        <v>63.637</v>
      </c>
      <c r="AN126" s="32">
        <f t="shared" ref="AN126:AT126" si="200">AM126</f>
        <v>63.637</v>
      </c>
      <c r="AO126" s="32">
        <f t="shared" si="200"/>
        <v>63.637</v>
      </c>
      <c r="AP126" s="32">
        <f t="shared" si="200"/>
        <v>63.637</v>
      </c>
      <c r="AQ126" s="32">
        <f t="shared" si="200"/>
        <v>63.637</v>
      </c>
      <c r="AR126" s="32">
        <f t="shared" si="200"/>
        <v>63.637</v>
      </c>
      <c r="AS126" s="32">
        <f t="shared" si="200"/>
        <v>63.637</v>
      </c>
      <c r="AT126" s="32">
        <f t="shared" si="200"/>
        <v>63.637</v>
      </c>
      <c r="AU126" s="8" t="s">
        <v>29</v>
      </c>
    </row>
    <row r="127" spans="1:47" ht="16.2" customHeight="1" x14ac:dyDescent="0.3">
      <c r="B127" s="20" t="s">
        <v>76</v>
      </c>
      <c r="C127" s="33">
        <f>SUM(C128:C129)</f>
        <v>123.295</v>
      </c>
      <c r="D127" s="33">
        <f t="shared" ref="D127:AG127" si="201">SUM(D128:D129)</f>
        <v>144.28899999999999</v>
      </c>
      <c r="E127" s="33">
        <f t="shared" si="201"/>
        <v>144.51900000000001</v>
      </c>
      <c r="F127" s="33">
        <f t="shared" si="201"/>
        <v>6.1349999999999998</v>
      </c>
      <c r="G127" s="34">
        <f>F127</f>
        <v>6.1349999999999998</v>
      </c>
      <c r="H127" s="33">
        <f t="shared" si="201"/>
        <v>6.1349999999999998</v>
      </c>
      <c r="I127" s="33">
        <f t="shared" si="201"/>
        <v>0</v>
      </c>
      <c r="J127" s="33">
        <f t="shared" si="201"/>
        <v>0</v>
      </c>
      <c r="K127" s="33">
        <f t="shared" si="201"/>
        <v>9.8810000000000002</v>
      </c>
      <c r="L127" s="34">
        <f>K127</f>
        <v>9.8810000000000002</v>
      </c>
      <c r="M127" s="33">
        <f t="shared" si="201"/>
        <v>9.8810000000000002</v>
      </c>
      <c r="N127" s="33">
        <f t="shared" si="201"/>
        <v>0</v>
      </c>
      <c r="O127" s="33">
        <f t="shared" si="201"/>
        <v>8.65</v>
      </c>
      <c r="P127" s="33">
        <f t="shared" si="201"/>
        <v>23.683</v>
      </c>
      <c r="Q127" s="34">
        <f>P127</f>
        <v>23.683</v>
      </c>
      <c r="R127" s="33">
        <f t="shared" si="201"/>
        <v>27.106999999999999</v>
      </c>
      <c r="S127" s="33">
        <f t="shared" si="201"/>
        <v>10.388999999999999</v>
      </c>
      <c r="T127" s="33">
        <f t="shared" si="201"/>
        <v>15.571999999999999</v>
      </c>
      <c r="U127" s="33">
        <f t="shared" si="201"/>
        <v>27.472999999999999</v>
      </c>
      <c r="V127" s="34">
        <f>U127</f>
        <v>27.472999999999999</v>
      </c>
      <c r="W127" s="33">
        <f t="shared" si="201"/>
        <v>33.113</v>
      </c>
      <c r="X127" s="33">
        <f t="shared" si="201"/>
        <v>12.327</v>
      </c>
      <c r="Y127" s="33">
        <f t="shared" si="201"/>
        <v>18.303999999999998</v>
      </c>
      <c r="Z127" s="33">
        <f t="shared" si="201"/>
        <v>28.776</v>
      </c>
      <c r="AA127" s="34">
        <f>Z127</f>
        <v>28.776</v>
      </c>
      <c r="AB127" s="33">
        <f t="shared" si="201"/>
        <v>36.220999999999997</v>
      </c>
      <c r="AC127" s="33">
        <f t="shared" si="201"/>
        <v>17.11</v>
      </c>
      <c r="AD127" s="33">
        <f t="shared" si="201"/>
        <v>26.451000000000001</v>
      </c>
      <c r="AE127" s="33">
        <f t="shared" si="201"/>
        <v>35.746000000000002</v>
      </c>
      <c r="AF127" s="34">
        <f>AE127</f>
        <v>35.746000000000002</v>
      </c>
      <c r="AG127" s="33">
        <f t="shared" si="201"/>
        <v>48.872999999999998</v>
      </c>
      <c r="AH127" s="33">
        <f t="shared" ref="AH127:AJ127" ca="1" si="202">AG127-AH104</f>
        <v>48.872999999999998</v>
      </c>
      <c r="AI127" s="33">
        <f t="shared" ca="1" si="202"/>
        <v>48.872999999999998</v>
      </c>
      <c r="AJ127" s="33">
        <f t="shared" ca="1" si="202"/>
        <v>54.509813693114893</v>
      </c>
      <c r="AK127" s="106">
        <f ca="1">AJ127</f>
        <v>54.509813693114893</v>
      </c>
      <c r="AL127" s="34">
        <f ca="1">AK127-AL104</f>
        <v>54.509813693114893</v>
      </c>
      <c r="AM127" s="34">
        <f ca="1">AL127-AM104</f>
        <v>54.509813693114893</v>
      </c>
      <c r="AN127" s="34">
        <f t="shared" ref="AN127:AT127" ca="1" si="203">AM127-AN104</f>
        <v>54.509813693114893</v>
      </c>
      <c r="AO127" s="34">
        <f t="shared" ca="1" si="203"/>
        <v>54.509813693114893</v>
      </c>
      <c r="AP127" s="34">
        <f t="shared" ca="1" si="203"/>
        <v>54.509813693114893</v>
      </c>
      <c r="AQ127" s="34">
        <f t="shared" ca="1" si="203"/>
        <v>54.509813693114893</v>
      </c>
      <c r="AR127" s="34">
        <f t="shared" ca="1" si="203"/>
        <v>54.509813693114893</v>
      </c>
      <c r="AS127" s="34">
        <f t="shared" ca="1" si="203"/>
        <v>54.509813693114893</v>
      </c>
      <c r="AT127" s="34">
        <f t="shared" ca="1" si="203"/>
        <v>54.509813693114893</v>
      </c>
      <c r="AU127" s="8" t="s">
        <v>29</v>
      </c>
    </row>
    <row r="128" spans="1:47" ht="16.2" customHeight="1" x14ac:dyDescent="0.3">
      <c r="B128" s="24" t="s">
        <v>114</v>
      </c>
      <c r="C128" s="33">
        <f t="shared" ref="C128:AG128" si="204">C71+C80</f>
        <v>0</v>
      </c>
      <c r="D128" s="33">
        <f t="shared" si="204"/>
        <v>30.225000000000001</v>
      </c>
      <c r="E128" s="33">
        <f t="shared" si="204"/>
        <v>30.454999999999998</v>
      </c>
      <c r="F128" s="33">
        <f t="shared" si="204"/>
        <v>0</v>
      </c>
      <c r="G128" s="34">
        <f>F128</f>
        <v>0</v>
      </c>
      <c r="H128" s="33">
        <f t="shared" si="204"/>
        <v>0</v>
      </c>
      <c r="I128" s="33">
        <f t="shared" si="204"/>
        <v>0</v>
      </c>
      <c r="J128" s="33">
        <f t="shared" si="204"/>
        <v>0</v>
      </c>
      <c r="K128" s="33">
        <f t="shared" si="204"/>
        <v>0</v>
      </c>
      <c r="L128" s="34">
        <f>K128</f>
        <v>0</v>
      </c>
      <c r="M128" s="33">
        <f t="shared" si="204"/>
        <v>0</v>
      </c>
      <c r="N128" s="33">
        <f t="shared" si="204"/>
        <v>0</v>
      </c>
      <c r="O128" s="33">
        <f t="shared" si="204"/>
        <v>0</v>
      </c>
      <c r="P128" s="33">
        <f t="shared" si="204"/>
        <v>0</v>
      </c>
      <c r="Q128" s="34">
        <f>P128</f>
        <v>0</v>
      </c>
      <c r="R128" s="33">
        <f t="shared" si="204"/>
        <v>0</v>
      </c>
      <c r="S128" s="33">
        <f t="shared" si="204"/>
        <v>0</v>
      </c>
      <c r="T128" s="33">
        <f t="shared" si="204"/>
        <v>0</v>
      </c>
      <c r="U128" s="33">
        <f t="shared" si="204"/>
        <v>0</v>
      </c>
      <c r="V128" s="34">
        <f>U128</f>
        <v>0</v>
      </c>
      <c r="W128" s="33">
        <f t="shared" si="204"/>
        <v>0</v>
      </c>
      <c r="X128" s="33">
        <f t="shared" si="204"/>
        <v>0</v>
      </c>
      <c r="Y128" s="33">
        <f t="shared" si="204"/>
        <v>0</v>
      </c>
      <c r="Z128" s="33">
        <f t="shared" si="204"/>
        <v>0</v>
      </c>
      <c r="AA128" s="34">
        <f>Z128</f>
        <v>0</v>
      </c>
      <c r="AB128" s="33">
        <f t="shared" si="204"/>
        <v>0</v>
      </c>
      <c r="AC128" s="33">
        <f t="shared" si="204"/>
        <v>0</v>
      </c>
      <c r="AD128" s="33">
        <f t="shared" si="204"/>
        <v>0</v>
      </c>
      <c r="AE128" s="33">
        <f t="shared" si="204"/>
        <v>0</v>
      </c>
      <c r="AF128" s="34">
        <f>AE128</f>
        <v>0</v>
      </c>
      <c r="AG128" s="33">
        <f t="shared" si="204"/>
        <v>0</v>
      </c>
      <c r="AH128" s="33">
        <f t="shared" ref="AH128:AJ128" ca="1" si="205">AH127-AH129</f>
        <v>10</v>
      </c>
      <c r="AI128" s="33">
        <f t="shared" ca="1" si="205"/>
        <v>20</v>
      </c>
      <c r="AJ128" s="33">
        <f t="shared" ca="1" si="205"/>
        <v>35.636813693114895</v>
      </c>
      <c r="AK128" s="106">
        <f ca="1">AJ128</f>
        <v>35.636813693114895</v>
      </c>
      <c r="AL128" s="34">
        <f ca="1">AL127-AL129</f>
        <v>54.509813693114893</v>
      </c>
      <c r="AM128" s="34">
        <f ca="1">AM127-AM129</f>
        <v>54.509813693114893</v>
      </c>
      <c r="AN128" s="34">
        <f t="shared" ref="AN128:AT128" ca="1" si="206">AN127-AN129</f>
        <v>54.509813693114893</v>
      </c>
      <c r="AO128" s="34">
        <f t="shared" ca="1" si="206"/>
        <v>54.509813693114893</v>
      </c>
      <c r="AP128" s="34">
        <f t="shared" ca="1" si="206"/>
        <v>54.509813693114893</v>
      </c>
      <c r="AQ128" s="34">
        <f t="shared" ca="1" si="206"/>
        <v>54.509813693114893</v>
      </c>
      <c r="AR128" s="34">
        <f t="shared" ca="1" si="206"/>
        <v>54.509813693114893</v>
      </c>
      <c r="AS128" s="34">
        <f t="shared" ca="1" si="206"/>
        <v>54.509813693114893</v>
      </c>
      <c r="AT128" s="34">
        <f t="shared" ca="1" si="206"/>
        <v>54.509813693114893</v>
      </c>
      <c r="AU128" s="8" t="s">
        <v>29</v>
      </c>
    </row>
    <row r="129" spans="1:47" ht="16.2" customHeight="1" x14ac:dyDescent="0.3">
      <c r="B129" s="24" t="s">
        <v>115</v>
      </c>
      <c r="C129" s="22">
        <f t="shared" ref="C129:AG129" si="207">C76</f>
        <v>123.295</v>
      </c>
      <c r="D129" s="22">
        <f t="shared" si="207"/>
        <v>114.06399999999999</v>
      </c>
      <c r="E129" s="22">
        <f t="shared" si="207"/>
        <v>114.06399999999999</v>
      </c>
      <c r="F129" s="22">
        <f t="shared" si="207"/>
        <v>6.1349999999999998</v>
      </c>
      <c r="G129" s="23">
        <f>F129</f>
        <v>6.1349999999999998</v>
      </c>
      <c r="H129" s="22">
        <f t="shared" si="207"/>
        <v>6.1349999999999998</v>
      </c>
      <c r="I129" s="22">
        <f t="shared" si="207"/>
        <v>0</v>
      </c>
      <c r="J129" s="22">
        <f t="shared" si="207"/>
        <v>0</v>
      </c>
      <c r="K129" s="22">
        <f t="shared" si="207"/>
        <v>9.8810000000000002</v>
      </c>
      <c r="L129" s="23">
        <f>K129</f>
        <v>9.8810000000000002</v>
      </c>
      <c r="M129" s="22">
        <f t="shared" si="207"/>
        <v>9.8810000000000002</v>
      </c>
      <c r="N129" s="22">
        <f t="shared" si="207"/>
        <v>0</v>
      </c>
      <c r="O129" s="22">
        <f t="shared" si="207"/>
        <v>8.65</v>
      </c>
      <c r="P129" s="22">
        <f t="shared" si="207"/>
        <v>23.683</v>
      </c>
      <c r="Q129" s="23">
        <f>P129</f>
        <v>23.683</v>
      </c>
      <c r="R129" s="22">
        <f t="shared" si="207"/>
        <v>27.106999999999999</v>
      </c>
      <c r="S129" s="22">
        <f t="shared" si="207"/>
        <v>10.388999999999999</v>
      </c>
      <c r="T129" s="22">
        <f t="shared" si="207"/>
        <v>15.571999999999999</v>
      </c>
      <c r="U129" s="22">
        <f t="shared" si="207"/>
        <v>27.472999999999999</v>
      </c>
      <c r="V129" s="23">
        <f>U129</f>
        <v>27.472999999999999</v>
      </c>
      <c r="W129" s="22">
        <f t="shared" si="207"/>
        <v>33.113</v>
      </c>
      <c r="X129" s="22">
        <f t="shared" si="207"/>
        <v>12.327</v>
      </c>
      <c r="Y129" s="22">
        <f t="shared" si="207"/>
        <v>18.303999999999998</v>
      </c>
      <c r="Z129" s="22">
        <f t="shared" si="207"/>
        <v>28.776</v>
      </c>
      <c r="AA129" s="23">
        <f>Z129</f>
        <v>28.776</v>
      </c>
      <c r="AB129" s="22">
        <f t="shared" si="207"/>
        <v>36.220999999999997</v>
      </c>
      <c r="AC129" s="22">
        <f t="shared" si="207"/>
        <v>17.11</v>
      </c>
      <c r="AD129" s="22">
        <f t="shared" si="207"/>
        <v>26.451000000000001</v>
      </c>
      <c r="AE129" s="22">
        <f t="shared" si="207"/>
        <v>35.746000000000002</v>
      </c>
      <c r="AF129" s="23">
        <f>AE129</f>
        <v>35.746000000000002</v>
      </c>
      <c r="AG129" s="22">
        <f t="shared" si="207"/>
        <v>48.872999999999998</v>
      </c>
      <c r="AH129" s="120">
        <f>AG129-10</f>
        <v>38.872999999999998</v>
      </c>
      <c r="AI129" s="120">
        <f t="shared" ref="AI129:AJ129" si="208">AH129-10</f>
        <v>28.872999999999998</v>
      </c>
      <c r="AJ129" s="120">
        <f t="shared" si="208"/>
        <v>18.872999999999998</v>
      </c>
      <c r="AK129" s="121">
        <f>AJ129</f>
        <v>18.872999999999998</v>
      </c>
      <c r="AL129" s="119">
        <v>0</v>
      </c>
      <c r="AM129" s="119">
        <f>AL129</f>
        <v>0</v>
      </c>
      <c r="AN129" s="119">
        <f t="shared" ref="AN129:AT129" si="209">AM129</f>
        <v>0</v>
      </c>
      <c r="AO129" s="119">
        <f t="shared" si="209"/>
        <v>0</v>
      </c>
      <c r="AP129" s="119">
        <f t="shared" si="209"/>
        <v>0</v>
      </c>
      <c r="AQ129" s="119">
        <f t="shared" si="209"/>
        <v>0</v>
      </c>
      <c r="AR129" s="119">
        <f t="shared" si="209"/>
        <v>0</v>
      </c>
      <c r="AS129" s="119">
        <f t="shared" si="209"/>
        <v>0</v>
      </c>
      <c r="AT129" s="119">
        <f t="shared" si="209"/>
        <v>0</v>
      </c>
      <c r="AU129" s="8" t="s">
        <v>29</v>
      </c>
    </row>
    <row r="130" spans="1:47" ht="7.95" customHeight="1" x14ac:dyDescent="0.3">
      <c r="B130" s="47"/>
      <c r="C130" s="48"/>
      <c r="D130" s="48"/>
      <c r="E130" s="48"/>
      <c r="F130" s="48"/>
      <c r="G130" s="49"/>
      <c r="H130" s="48"/>
      <c r="I130" s="48"/>
      <c r="J130" s="48"/>
      <c r="K130" s="48"/>
      <c r="L130" s="49"/>
      <c r="M130" s="48"/>
      <c r="N130" s="48"/>
      <c r="O130" s="48"/>
      <c r="P130" s="48"/>
      <c r="Q130" s="49"/>
      <c r="R130" s="48"/>
      <c r="S130" s="48"/>
      <c r="T130" s="48"/>
      <c r="U130" s="48"/>
      <c r="V130" s="49"/>
      <c r="W130" s="48"/>
      <c r="X130" s="48"/>
      <c r="Y130" s="48"/>
      <c r="Z130" s="48"/>
      <c r="AA130" s="49"/>
      <c r="AB130" s="48"/>
      <c r="AC130" s="48"/>
      <c r="AD130" s="48"/>
      <c r="AE130" s="48"/>
      <c r="AF130" s="49"/>
      <c r="AG130" s="48"/>
      <c r="AH130" s="50"/>
      <c r="AI130" s="50"/>
      <c r="AJ130" s="50"/>
      <c r="AK130" s="105"/>
      <c r="AL130" s="51"/>
      <c r="AM130" s="51"/>
      <c r="AN130" s="51"/>
      <c r="AO130" s="51"/>
      <c r="AP130" s="51"/>
      <c r="AQ130" s="51"/>
      <c r="AR130" s="51"/>
      <c r="AS130" s="51"/>
      <c r="AT130" s="51"/>
      <c r="AU130" s="8" t="s">
        <v>29</v>
      </c>
    </row>
    <row r="131" spans="1:47" ht="16.2" customHeight="1" x14ac:dyDescent="0.3">
      <c r="B131" s="52" t="s">
        <v>116</v>
      </c>
      <c r="C131" s="48"/>
      <c r="D131" s="48"/>
      <c r="E131" s="48"/>
      <c r="F131" s="48">
        <f>SUM(C30:F30)</f>
        <v>51.54069078052806</v>
      </c>
      <c r="G131" s="49">
        <f>F131</f>
        <v>51.54069078052806</v>
      </c>
      <c r="H131" s="48">
        <f>SUM(D30:F30,H30)</f>
        <v>58.323690780528068</v>
      </c>
      <c r="I131" s="48">
        <f>SUM(E30:F30,H30:I30)</f>
        <v>77.414735980528121</v>
      </c>
      <c r="J131" s="48">
        <f>SUM(F30,H30:J30)</f>
        <v>91.530064240590136</v>
      </c>
      <c r="K131" s="48">
        <f t="shared" ref="K131:AJ131" si="210">SUM(H30:K30)</f>
        <v>101.87793731716189</v>
      </c>
      <c r="L131" s="49">
        <f>K131</f>
        <v>101.87793731716189</v>
      </c>
      <c r="M131" s="48">
        <f>SUM(I30:K30,M30)</f>
        <v>123.25973273716197</v>
      </c>
      <c r="N131" s="48">
        <f>SUM(J30:K30,M30:N30)</f>
        <v>131.89843588716192</v>
      </c>
      <c r="O131" s="48">
        <f>SUM(K30,M30:O30)</f>
        <v>139.10415506757587</v>
      </c>
      <c r="P131" s="48">
        <f t="shared" si="210"/>
        <v>143.76111295239809</v>
      </c>
      <c r="Q131" s="49">
        <f>P131</f>
        <v>143.76111295239809</v>
      </c>
      <c r="R131" s="48">
        <f>SUM(N30:P30,R30)</f>
        <v>149.167999062398</v>
      </c>
      <c r="S131" s="48">
        <f>SUM(O30:P30,R30:S30)</f>
        <v>161.2439120923982</v>
      </c>
      <c r="T131" s="48">
        <f>SUM(P30,R30:T30)</f>
        <v>168.28523811192224</v>
      </c>
      <c r="U131" s="48">
        <f t="shared" si="210"/>
        <v>173.73034012000005</v>
      </c>
      <c r="V131" s="49">
        <f>U131</f>
        <v>173.73034012000005</v>
      </c>
      <c r="W131" s="48">
        <f>SUM(S30:U30,W30)</f>
        <v>177.36496812999999</v>
      </c>
      <c r="X131" s="48">
        <f>SUM(T30:U30,W30:X30)</f>
        <v>180.33530674999986</v>
      </c>
      <c r="Y131" s="48">
        <f>SUM(U30,W30:Y30)</f>
        <v>184.06199431999983</v>
      </c>
      <c r="Z131" s="48">
        <f t="shared" si="210"/>
        <v>196.22544405999994</v>
      </c>
      <c r="AA131" s="49">
        <f>Z131</f>
        <v>196.22544405999994</v>
      </c>
      <c r="AB131" s="48">
        <f>SUM(X30:Z30,AB30)</f>
        <v>213.39874726354492</v>
      </c>
      <c r="AC131" s="48">
        <f>SUM(Y30:Z30,AB30:AC30)</f>
        <v>227.85574726354491</v>
      </c>
      <c r="AD131" s="48">
        <f>SUM(Z30,AB30:AD30)</f>
        <v>239.72134182697991</v>
      </c>
      <c r="AE131" s="48">
        <f t="shared" si="210"/>
        <v>249.41326833697994</v>
      </c>
      <c r="AF131" s="49">
        <f>AE131</f>
        <v>249.41326833697994</v>
      </c>
      <c r="AG131" s="48">
        <f>SUM(AC30:AE30,AG30)</f>
        <v>254.61665559343498</v>
      </c>
      <c r="AH131" s="48">
        <f>SUM(AD30:AE30,AG30:AH30)</f>
        <v>263.14488631135237</v>
      </c>
      <c r="AI131" s="48">
        <f>SUM(AE30,AG30:AI30)</f>
        <v>277.51828034598566</v>
      </c>
      <c r="AJ131" s="48">
        <f t="shared" si="210"/>
        <v>297.94183499307849</v>
      </c>
      <c r="AK131" s="105">
        <f>AJ131</f>
        <v>297.94183499307849</v>
      </c>
      <c r="AL131" s="49">
        <f>AL30</f>
        <v>353.14298769896124</v>
      </c>
      <c r="AM131" s="49">
        <f>AM30</f>
        <v>416.63398250665597</v>
      </c>
      <c r="AN131" s="49">
        <f t="shared" ref="AN131:AT131" si="211">AN30</f>
        <v>487.75857111594081</v>
      </c>
      <c r="AO131" s="49">
        <f t="shared" si="211"/>
        <v>567.20042289782316</v>
      </c>
      <c r="AP131" s="49">
        <f t="shared" si="211"/>
        <v>655.69481647517171</v>
      </c>
      <c r="AQ131" s="49">
        <f t="shared" si="211"/>
        <v>754.03213919401787</v>
      </c>
      <c r="AR131" s="49">
        <f t="shared" si="211"/>
        <v>863.06160771623945</v>
      </c>
      <c r="AS131" s="49">
        <f t="shared" si="211"/>
        <v>983.69522308158821</v>
      </c>
      <c r="AT131" s="49">
        <f t="shared" si="211"/>
        <v>1116.9119743724398</v>
      </c>
      <c r="AU131" s="8" t="s">
        <v>29</v>
      </c>
    </row>
    <row r="132" spans="1:47" ht="16.2" customHeight="1" x14ac:dyDescent="0.3">
      <c r="B132" s="53" t="s">
        <v>117</v>
      </c>
      <c r="C132" s="48"/>
      <c r="D132" s="48"/>
      <c r="E132" s="48"/>
      <c r="F132" s="48">
        <f>SUM(C363:F364)</f>
        <v>-12.976000000000001</v>
      </c>
      <c r="G132" s="49">
        <f>F132</f>
        <v>-12.976000000000001</v>
      </c>
      <c r="H132" s="48">
        <f>SUM(D363:H364)</f>
        <v>-25.586999999999996</v>
      </c>
      <c r="I132" s="48">
        <f>SUM(E363:I364)</f>
        <v>-25.857999999999997</v>
      </c>
      <c r="J132" s="48">
        <f>SUM(F363:J364)</f>
        <v>-26.685999999999996</v>
      </c>
      <c r="K132" s="48">
        <f t="shared" ref="K132:AJ132" si="212">SUM(H363:K364)</f>
        <v>-14.372</v>
      </c>
      <c r="L132" s="49">
        <f>K132</f>
        <v>-14.372</v>
      </c>
      <c r="M132" s="48">
        <f>SUM(I363:M364)</f>
        <v>-30.623999999999999</v>
      </c>
      <c r="N132" s="48">
        <f>SUM(J363:N364)</f>
        <v>-32.219000000000008</v>
      </c>
      <c r="O132" s="48">
        <f>SUM(K363:O364)</f>
        <v>-32.917000000000002</v>
      </c>
      <c r="P132" s="48">
        <f t="shared" si="212"/>
        <v>-20.704000000000001</v>
      </c>
      <c r="Q132" s="49">
        <f>P132</f>
        <v>-20.704000000000001</v>
      </c>
      <c r="R132" s="48">
        <f>SUM(N363:R364)</f>
        <v>-42.742000000000004</v>
      </c>
      <c r="S132" s="48">
        <f>SUM(O363:S364)</f>
        <v>-43.870000000000005</v>
      </c>
      <c r="T132" s="48">
        <f>SUM(P363:T364)</f>
        <v>-45.610000000000007</v>
      </c>
      <c r="U132" s="48">
        <f t="shared" si="212"/>
        <v>-25.945999999999998</v>
      </c>
      <c r="V132" s="49">
        <f>U132</f>
        <v>-25.945999999999998</v>
      </c>
      <c r="W132" s="48">
        <f>SUM(S363:W364)</f>
        <v>-52.701000000000001</v>
      </c>
      <c r="X132" s="48">
        <f>SUM(T363:X364)</f>
        <v>-53.825000000000003</v>
      </c>
      <c r="Y132" s="48">
        <f>SUM(U363:Y364)</f>
        <v>-54.71</v>
      </c>
      <c r="Z132" s="48">
        <f t="shared" si="212"/>
        <v>-29.875</v>
      </c>
      <c r="AA132" s="49">
        <f>Z132</f>
        <v>-29.875</v>
      </c>
      <c r="AB132" s="48">
        <f>SUM(X363:AB364)</f>
        <v>-61.965999999999994</v>
      </c>
      <c r="AC132" s="48">
        <f>SUM(Y363:AC364)</f>
        <v>-63.506</v>
      </c>
      <c r="AD132" s="48">
        <f>SUM(Z363:AD364)</f>
        <v>-65.245000000000005</v>
      </c>
      <c r="AE132" s="48">
        <f t="shared" si="212"/>
        <v>-37.685999999999993</v>
      </c>
      <c r="AF132" s="49">
        <f>AE132</f>
        <v>-37.685999999999993</v>
      </c>
      <c r="AG132" s="48">
        <f>SUM(AC363:AG364)</f>
        <v>-77.088999999999984</v>
      </c>
      <c r="AH132" s="48">
        <f>SUM(AD363:AH364)</f>
        <v>-79.526670041009652</v>
      </c>
      <c r="AI132" s="48">
        <f>SUM(AE363:AI364)</f>
        <v>-81.408340082019308</v>
      </c>
      <c r="AJ132" s="48">
        <f t="shared" si="212"/>
        <v>-45.6020467275318</v>
      </c>
      <c r="AK132" s="105">
        <f>AJ132</f>
        <v>-45.6020467275318</v>
      </c>
      <c r="AL132" s="49">
        <f>AL363+AL364</f>
        <v>-51.395601149578077</v>
      </c>
      <c r="AM132" s="49">
        <f>AM363+AM364</f>
        <v>-57.180854711940199</v>
      </c>
      <c r="AN132" s="49">
        <f t="shared" ref="AN132:AT132" si="213">AN363+AN364</f>
        <v>-63.104891534705246</v>
      </c>
      <c r="AO132" s="49">
        <f t="shared" si="213"/>
        <v>-69.150822319993807</v>
      </c>
      <c r="AP132" s="49">
        <f t="shared" si="213"/>
        <v>-75.298916408166235</v>
      </c>
      <c r="AQ132" s="49">
        <f t="shared" si="213"/>
        <v>-81.526319591200391</v>
      </c>
      <c r="AR132" s="49">
        <f t="shared" si="213"/>
        <v>-87.806748797126701</v>
      </c>
      <c r="AS132" s="49">
        <f t="shared" si="213"/>
        <v>-94.110161937409146</v>
      </c>
      <c r="AT132" s="49">
        <f t="shared" si="213"/>
        <v>-100.40240109113702</v>
      </c>
      <c r="AU132" s="8" t="s">
        <v>29</v>
      </c>
    </row>
    <row r="133" spans="1:47" ht="16.2" customHeight="1" x14ac:dyDescent="0.3">
      <c r="B133" s="52" t="s">
        <v>118</v>
      </c>
      <c r="C133" s="48"/>
      <c r="D133" s="48"/>
      <c r="E133" s="48"/>
      <c r="F133" s="48">
        <f>F131+F132</f>
        <v>38.564690780528061</v>
      </c>
      <c r="G133" s="49">
        <f>F133</f>
        <v>38.564690780528061</v>
      </c>
      <c r="H133" s="48">
        <f t="shared" ref="H133:AJ133" si="214">H131+H132</f>
        <v>32.736690780528072</v>
      </c>
      <c r="I133" s="48">
        <f t="shared" si="214"/>
        <v>51.556735980528124</v>
      </c>
      <c r="J133" s="48">
        <f t="shared" si="214"/>
        <v>64.844064240590143</v>
      </c>
      <c r="K133" s="48">
        <f t="shared" si="214"/>
        <v>87.505937317161894</v>
      </c>
      <c r="L133" s="49">
        <f>K133</f>
        <v>87.505937317161894</v>
      </c>
      <c r="M133" s="48">
        <f t="shared" si="214"/>
        <v>92.635732737161973</v>
      </c>
      <c r="N133" s="48">
        <f t="shared" si="214"/>
        <v>99.679435887161915</v>
      </c>
      <c r="O133" s="48">
        <f t="shared" si="214"/>
        <v>106.18715506757587</v>
      </c>
      <c r="P133" s="48">
        <f t="shared" si="214"/>
        <v>123.05711295239809</v>
      </c>
      <c r="Q133" s="49">
        <f>P133</f>
        <v>123.05711295239809</v>
      </c>
      <c r="R133" s="48">
        <f t="shared" si="214"/>
        <v>106.42599906239799</v>
      </c>
      <c r="S133" s="48">
        <f t="shared" si="214"/>
        <v>117.3739120923982</v>
      </c>
      <c r="T133" s="48">
        <f t="shared" si="214"/>
        <v>122.67523811192223</v>
      </c>
      <c r="U133" s="48">
        <f t="shared" si="214"/>
        <v>147.78434012000005</v>
      </c>
      <c r="V133" s="49">
        <f>U133</f>
        <v>147.78434012000005</v>
      </c>
      <c r="W133" s="48">
        <f t="shared" si="214"/>
        <v>124.66396813</v>
      </c>
      <c r="X133" s="48">
        <f t="shared" si="214"/>
        <v>126.51030674999986</v>
      </c>
      <c r="Y133" s="48">
        <f t="shared" si="214"/>
        <v>129.35199431999982</v>
      </c>
      <c r="Z133" s="48">
        <f t="shared" si="214"/>
        <v>166.35044405999994</v>
      </c>
      <c r="AA133" s="49">
        <f>Z133</f>
        <v>166.35044405999994</v>
      </c>
      <c r="AB133" s="48">
        <f t="shared" si="214"/>
        <v>151.43274726354491</v>
      </c>
      <c r="AC133" s="48">
        <f t="shared" si="214"/>
        <v>164.34974726354491</v>
      </c>
      <c r="AD133" s="48">
        <f t="shared" si="214"/>
        <v>174.4763418269799</v>
      </c>
      <c r="AE133" s="48">
        <f t="shared" si="214"/>
        <v>211.72726833697993</v>
      </c>
      <c r="AF133" s="49">
        <f>AE133</f>
        <v>211.72726833697993</v>
      </c>
      <c r="AG133" s="48">
        <f t="shared" si="214"/>
        <v>177.52765559343499</v>
      </c>
      <c r="AH133" s="48">
        <f t="shared" si="214"/>
        <v>183.61821627034271</v>
      </c>
      <c r="AI133" s="48">
        <f t="shared" si="214"/>
        <v>196.10994026396634</v>
      </c>
      <c r="AJ133" s="48">
        <f t="shared" si="214"/>
        <v>252.3397882655467</v>
      </c>
      <c r="AK133" s="105">
        <f>AJ133</f>
        <v>252.3397882655467</v>
      </c>
      <c r="AL133" s="49">
        <f>AL131+AL132</f>
        <v>301.74738654938318</v>
      </c>
      <c r="AM133" s="49">
        <f>AM131+AM132</f>
        <v>359.45312779471578</v>
      </c>
      <c r="AN133" s="49">
        <f t="shared" ref="AN133:AT133" si="215">AN131+AN132</f>
        <v>424.65367958123556</v>
      </c>
      <c r="AO133" s="49">
        <f t="shared" si="215"/>
        <v>498.04960057782932</v>
      </c>
      <c r="AP133" s="49">
        <f t="shared" si="215"/>
        <v>580.39590006700541</v>
      </c>
      <c r="AQ133" s="49">
        <f t="shared" si="215"/>
        <v>672.5058196028175</v>
      </c>
      <c r="AR133" s="49">
        <f t="shared" si="215"/>
        <v>775.25485891911273</v>
      </c>
      <c r="AS133" s="49">
        <f t="shared" si="215"/>
        <v>889.58506114417901</v>
      </c>
      <c r="AT133" s="49">
        <f t="shared" si="215"/>
        <v>1016.5095732813028</v>
      </c>
      <c r="AU133" s="8" t="s">
        <v>29</v>
      </c>
    </row>
    <row r="134" spans="1:47" ht="7.95" customHeight="1" x14ac:dyDescent="0.3">
      <c r="B134" s="52"/>
      <c r="C134" s="48"/>
      <c r="D134" s="48"/>
      <c r="E134" s="48"/>
      <c r="F134" s="48"/>
      <c r="G134" s="49"/>
      <c r="H134" s="48"/>
      <c r="I134" s="48"/>
      <c r="J134" s="48"/>
      <c r="K134" s="48"/>
      <c r="L134" s="49"/>
      <c r="M134" s="48"/>
      <c r="N134" s="48"/>
      <c r="O134" s="48"/>
      <c r="P134" s="48"/>
      <c r="Q134" s="49"/>
      <c r="R134" s="48"/>
      <c r="S134" s="48"/>
      <c r="T134" s="48"/>
      <c r="U134" s="48"/>
      <c r="V134" s="49"/>
      <c r="W134" s="48"/>
      <c r="X134" s="48"/>
      <c r="Y134" s="48"/>
      <c r="Z134" s="48"/>
      <c r="AA134" s="49"/>
      <c r="AB134" s="48"/>
      <c r="AC134" s="48"/>
      <c r="AD134" s="48"/>
      <c r="AE134" s="48"/>
      <c r="AF134" s="49"/>
      <c r="AG134" s="48"/>
      <c r="AH134" s="48"/>
      <c r="AI134" s="48"/>
      <c r="AJ134" s="48"/>
      <c r="AK134" s="105"/>
      <c r="AL134" s="49"/>
      <c r="AM134" s="49"/>
      <c r="AN134" s="49"/>
      <c r="AO134" s="49"/>
      <c r="AP134" s="49"/>
      <c r="AQ134" s="49"/>
      <c r="AR134" s="49"/>
      <c r="AS134" s="49"/>
      <c r="AT134" s="49"/>
      <c r="AU134" s="8" t="s">
        <v>29</v>
      </c>
    </row>
    <row r="135" spans="1:47" ht="16.2" customHeight="1" x14ac:dyDescent="0.3">
      <c r="B135" s="54" t="s">
        <v>119</v>
      </c>
      <c r="C135" s="55"/>
      <c r="D135" s="55"/>
      <c r="E135" s="55"/>
      <c r="F135" s="56">
        <f>F125/F133</f>
        <v>-2.1507238440474872</v>
      </c>
      <c r="G135" s="57">
        <f>G125/G133</f>
        <v>-2.1507238440474872</v>
      </c>
      <c r="H135" s="56">
        <f t="shared" ref="H135:AJ135" si="216">H125/H133</f>
        <v>-2.4395562928279504</v>
      </c>
      <c r="I135" s="56">
        <f t="shared" si="216"/>
        <v>-1.2301399379501667</v>
      </c>
      <c r="J135" s="56">
        <f t="shared" si="216"/>
        <v>-0.97464587915880496</v>
      </c>
      <c r="K135" s="56">
        <f t="shared" si="216"/>
        <v>-0.65012731414788905</v>
      </c>
      <c r="L135" s="57">
        <f>L125/L133</f>
        <v>-0.65012731414788905</v>
      </c>
      <c r="M135" s="56">
        <f t="shared" si="216"/>
        <v>-0.69603810640700903</v>
      </c>
      <c r="N135" s="56">
        <f t="shared" si="216"/>
        <v>-0.60866114921316528</v>
      </c>
      <c r="O135" s="56">
        <f t="shared" si="216"/>
        <v>-0.42092661745721993</v>
      </c>
      <c r="P135" s="56">
        <f t="shared" si="216"/>
        <v>-0.2990968918167094</v>
      </c>
      <c r="Q135" s="57">
        <f>Q125/Q133</f>
        <v>-0.2990968918167094</v>
      </c>
      <c r="R135" s="56">
        <f t="shared" si="216"/>
        <v>-0.33994512918584968</v>
      </c>
      <c r="S135" s="56">
        <f t="shared" si="216"/>
        <v>-0.2516743241611113</v>
      </c>
      <c r="T135" s="56">
        <f t="shared" si="216"/>
        <v>-0.25027055559483946</v>
      </c>
      <c r="U135" s="56">
        <f t="shared" si="216"/>
        <v>-0.18272572031700315</v>
      </c>
      <c r="V135" s="57">
        <f>V125/V133</f>
        <v>-0.18272572031700315</v>
      </c>
      <c r="W135" s="56">
        <f t="shared" si="216"/>
        <v>-0.39358605967711385</v>
      </c>
      <c r="X135" s="56">
        <f t="shared" si="216"/>
        <v>-0.43206756353865267</v>
      </c>
      <c r="Y135" s="56">
        <f t="shared" si="216"/>
        <v>-0.22460419070251597</v>
      </c>
      <c r="Z135" s="56">
        <f t="shared" si="216"/>
        <v>3.2257202740406089E-2</v>
      </c>
      <c r="AA135" s="57">
        <f>AA125/AA133</f>
        <v>3.2257202740406089E-2</v>
      </c>
      <c r="AB135" s="56">
        <f t="shared" si="216"/>
        <v>-9.3896467289562316E-2</v>
      </c>
      <c r="AC135" s="56">
        <f t="shared" si="216"/>
        <v>-3.9939215662280411E-2</v>
      </c>
      <c r="AD135" s="56">
        <f t="shared" si="216"/>
        <v>3.3202209189740171E-2</v>
      </c>
      <c r="AE135" s="56">
        <f t="shared" si="216"/>
        <v>2.3190210871588636E-3</v>
      </c>
      <c r="AF135" s="57">
        <f>AF125/AF133</f>
        <v>2.3190210871588636E-3</v>
      </c>
      <c r="AG135" s="56">
        <f t="shared" si="216"/>
        <v>-8.3164507246193703E-2</v>
      </c>
      <c r="AH135" s="56">
        <f t="shared" ca="1" si="216"/>
        <v>-8.0405965703657836E-2</v>
      </c>
      <c r="AI135" s="56">
        <f t="shared" ca="1" si="216"/>
        <v>-7.5284302162998376E-2</v>
      </c>
      <c r="AJ135" s="56">
        <f t="shared" ca="1" si="216"/>
        <v>-3.6170222578138268E-2</v>
      </c>
      <c r="AK135" s="107">
        <f ca="1">AK125/AK133</f>
        <v>-3.6170222578138268E-2</v>
      </c>
      <c r="AL135" s="57">
        <f ca="1">AL125/AL133</f>
        <v>-3.0247772520115519E-2</v>
      </c>
      <c r="AM135" s="57">
        <f ca="1">AM125/AM133</f>
        <v>-2.5391867815649269E-2</v>
      </c>
      <c r="AN135" s="57">
        <f t="shared" ref="AN135:AT135" ca="1" si="217">AN125/AN133</f>
        <v>-2.1493246722566292E-2</v>
      </c>
      <c r="AO135" s="57">
        <f t="shared" ca="1" si="217"/>
        <v>-1.8325858099867743E-2</v>
      </c>
      <c r="AP135" s="57">
        <f t="shared" ca="1" si="217"/>
        <v>-1.5725793903491384E-2</v>
      </c>
      <c r="AQ135" s="57">
        <f t="shared" ca="1" si="217"/>
        <v>-1.357190680115695E-2</v>
      </c>
      <c r="AR135" s="57">
        <f t="shared" ca="1" si="217"/>
        <v>-1.1773142988888258E-2</v>
      </c>
      <c r="AS135" s="57">
        <f t="shared" ca="1" si="217"/>
        <v>-1.0260048988621475E-2</v>
      </c>
      <c r="AT135" s="57">
        <f t="shared" ca="1" si="217"/>
        <v>-8.9789477116506249E-3</v>
      </c>
      <c r="AU135" s="8" t="s">
        <v>29</v>
      </c>
    </row>
    <row r="136" spans="1:47" ht="7.95" customHeight="1" x14ac:dyDescent="0.3">
      <c r="G136" s="7"/>
      <c r="L136" s="7"/>
      <c r="Q136" s="7"/>
      <c r="V136" s="7"/>
      <c r="AA136" s="7"/>
      <c r="AF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8" t="s">
        <v>29</v>
      </c>
    </row>
    <row r="137" spans="1:47" ht="16.2" customHeight="1" x14ac:dyDescent="0.3">
      <c r="A137" s="2" t="s">
        <v>30</v>
      </c>
      <c r="B137" s="58" t="s">
        <v>120</v>
      </c>
      <c r="C137" s="59"/>
      <c r="D137" s="59"/>
      <c r="E137" s="59"/>
      <c r="F137" s="59"/>
      <c r="G137" s="60"/>
      <c r="H137" s="59"/>
      <c r="I137" s="59"/>
      <c r="J137" s="59"/>
      <c r="K137" s="59"/>
      <c r="L137" s="60"/>
      <c r="M137" s="59"/>
      <c r="N137" s="59"/>
      <c r="O137" s="59"/>
      <c r="P137" s="59"/>
      <c r="Q137" s="60"/>
      <c r="R137" s="59"/>
      <c r="S137" s="59"/>
      <c r="T137" s="59"/>
      <c r="U137" s="59"/>
      <c r="V137" s="60"/>
      <c r="W137" s="59"/>
      <c r="X137" s="59"/>
      <c r="Y137" s="59"/>
      <c r="Z137" s="59"/>
      <c r="AA137" s="60"/>
      <c r="AB137" s="59"/>
      <c r="AC137" s="59"/>
      <c r="AD137" s="59"/>
      <c r="AE137" s="59"/>
      <c r="AF137" s="60"/>
      <c r="AG137" s="59"/>
      <c r="AH137" s="59"/>
      <c r="AI137" s="59"/>
      <c r="AJ137" s="59"/>
      <c r="AK137" s="60"/>
      <c r="AL137" s="60"/>
      <c r="AM137" s="60"/>
      <c r="AN137" s="60"/>
      <c r="AO137" s="60"/>
      <c r="AP137" s="60"/>
      <c r="AQ137" s="60"/>
      <c r="AR137" s="60"/>
      <c r="AS137" s="60"/>
      <c r="AT137" s="60"/>
      <c r="AU137" s="8" t="s">
        <v>29</v>
      </c>
    </row>
    <row r="138" spans="1:47" ht="7.95" customHeight="1" x14ac:dyDescent="0.3">
      <c r="G138" s="7"/>
      <c r="L138" s="7"/>
      <c r="Q138" s="7"/>
      <c r="V138" s="7"/>
      <c r="AA138" s="7"/>
      <c r="AF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8" t="s">
        <v>29</v>
      </c>
    </row>
    <row r="139" spans="1:47" ht="16.2" customHeight="1" x14ac:dyDescent="0.3">
      <c r="B139" s="5" t="s">
        <v>121</v>
      </c>
      <c r="C139" s="28">
        <f>C141-C140</f>
        <v>96.63000000000001</v>
      </c>
      <c r="D139" s="28">
        <f t="shared" ref="D139:AJ139" si="218">D141-D140</f>
        <v>105.53</v>
      </c>
      <c r="E139" s="28">
        <f t="shared" si="218"/>
        <v>113.74400000000001</v>
      </c>
      <c r="F139" s="28">
        <f t="shared" si="218"/>
        <v>-32.009200000000007</v>
      </c>
      <c r="G139" s="29">
        <f t="shared" ref="G139:G144" si="219">F139</f>
        <v>-32.009200000000007</v>
      </c>
      <c r="H139" s="28">
        <f t="shared" si="218"/>
        <v>-7.6094666224000065</v>
      </c>
      <c r="I139" s="28">
        <f t="shared" si="218"/>
        <v>11.966888237600003</v>
      </c>
      <c r="J139" s="28">
        <f t="shared" si="218"/>
        <v>14.253483097599997</v>
      </c>
      <c r="K139" s="28">
        <f t="shared" si="218"/>
        <v>22.104487037599995</v>
      </c>
      <c r="L139" s="29">
        <f t="shared" ref="L139:L144" si="220">K139</f>
        <v>22.104487037599995</v>
      </c>
      <c r="M139" s="28">
        <f t="shared" si="218"/>
        <v>19.672639777600011</v>
      </c>
      <c r="N139" s="28">
        <f t="shared" si="218"/>
        <v>24.038913917600006</v>
      </c>
      <c r="O139" s="28">
        <f t="shared" si="218"/>
        <v>44.130199397600002</v>
      </c>
      <c r="P139" s="28">
        <f t="shared" si="218"/>
        <v>54.56149579760001</v>
      </c>
      <c r="Q139" s="29">
        <f t="shared" ref="Q139:Q144" si="221">P139</f>
        <v>54.56149579760001</v>
      </c>
      <c r="R139" s="28">
        <f t="shared" si="218"/>
        <v>54.857980517599998</v>
      </c>
      <c r="S139" s="28">
        <f t="shared" si="218"/>
        <v>69.290134137599992</v>
      </c>
      <c r="T139" s="28">
        <f t="shared" si="218"/>
        <v>71.037059137600011</v>
      </c>
      <c r="U139" s="28">
        <f t="shared" si="218"/>
        <v>74.923221007600006</v>
      </c>
      <c r="V139" s="29">
        <f t="shared" ref="V139:V144" si="222">U139</f>
        <v>74.923221007600006</v>
      </c>
      <c r="W139" s="28">
        <f t="shared" si="218"/>
        <v>54.112425327599993</v>
      </c>
      <c r="X139" s="28">
        <f t="shared" si="218"/>
        <v>60.91451510760001</v>
      </c>
      <c r="Y139" s="28">
        <f t="shared" si="218"/>
        <v>89.870922877600009</v>
      </c>
      <c r="Z139" s="28">
        <f t="shared" si="218"/>
        <v>156.64956942000001</v>
      </c>
      <c r="AA139" s="29">
        <f t="shared" ref="AA139:AA144" si="223">Z139</f>
        <v>156.64956942000001</v>
      </c>
      <c r="AB139" s="28">
        <f t="shared" si="218"/>
        <v>133.01238557000002</v>
      </c>
      <c r="AC139" s="28">
        <f t="shared" si="218"/>
        <v>139.75772258999999</v>
      </c>
      <c r="AD139" s="28">
        <f t="shared" si="218"/>
        <v>175.20875367999997</v>
      </c>
      <c r="AE139" s="28">
        <f t="shared" si="218"/>
        <v>171.41355275000004</v>
      </c>
      <c r="AF139" s="29">
        <f t="shared" ref="AF139:AF144" si="224">AE139</f>
        <v>171.41355275000004</v>
      </c>
      <c r="AG139" s="28">
        <f t="shared" si="218"/>
        <v>164.07267943999997</v>
      </c>
      <c r="AH139" s="28">
        <f t="shared" ca="1" si="218"/>
        <v>164.07267943999997</v>
      </c>
      <c r="AI139" s="28">
        <f t="shared" ca="1" si="218"/>
        <v>179.03602489454542</v>
      </c>
      <c r="AJ139" s="28">
        <f t="shared" ca="1" si="218"/>
        <v>189.35885563311487</v>
      </c>
      <c r="AK139" s="29">
        <f t="shared" ref="AK139:AK144" ca="1" si="225">AJ139</f>
        <v>189.35885563311487</v>
      </c>
      <c r="AL139" s="29">
        <f ca="1">AL141-AL140</f>
        <v>217.97357188311486</v>
      </c>
      <c r="AM139" s="29">
        <f ca="1">AM141-AM140</f>
        <v>248.97792135186489</v>
      </c>
      <c r="AN139" s="29">
        <f t="shared" ref="AN139:AT139" ca="1" si="226">AN141-AN140</f>
        <v>282.53933057061494</v>
      </c>
      <c r="AO139" s="29">
        <f t="shared" ca="1" si="226"/>
        <v>318.83599464069306</v>
      </c>
      <c r="AP139" s="29">
        <f t="shared" ca="1" si="226"/>
        <v>358.0575355241852</v>
      </c>
      <c r="AQ139" s="29">
        <f t="shared" ca="1" si="226"/>
        <v>400.4056992422577</v>
      </c>
      <c r="AR139" s="29">
        <f t="shared" ca="1" si="226"/>
        <v>446.09509422615969</v>
      </c>
      <c r="AS139" s="29">
        <f t="shared" ca="1" si="226"/>
        <v>495.35397319317912</v>
      </c>
      <c r="AT139" s="29">
        <f t="shared" ca="1" si="226"/>
        <v>548.42506105416783</v>
      </c>
      <c r="AU139" s="8" t="s">
        <v>29</v>
      </c>
    </row>
    <row r="140" spans="1:47" ht="16.2" customHeight="1" x14ac:dyDescent="0.3">
      <c r="B140" s="20" t="s">
        <v>113</v>
      </c>
      <c r="C140" s="22">
        <f>C126</f>
        <v>74.394999999999996</v>
      </c>
      <c r="D140" s="22">
        <f t="shared" ref="D140:AJ140" si="227">D126</f>
        <v>86.768000000000001</v>
      </c>
      <c r="E140" s="22">
        <f t="shared" si="227"/>
        <v>77.260000000000005</v>
      </c>
      <c r="F140" s="22">
        <f t="shared" si="227"/>
        <v>89.076999999999998</v>
      </c>
      <c r="G140" s="23">
        <f t="shared" si="219"/>
        <v>89.076999999999998</v>
      </c>
      <c r="H140" s="22">
        <f t="shared" si="227"/>
        <v>85.998000000000005</v>
      </c>
      <c r="I140" s="22">
        <f t="shared" si="227"/>
        <v>63.421999999999997</v>
      </c>
      <c r="J140" s="22">
        <f t="shared" si="227"/>
        <v>63.2</v>
      </c>
      <c r="K140" s="22">
        <f t="shared" si="227"/>
        <v>66.771000000000001</v>
      </c>
      <c r="L140" s="23">
        <f t="shared" si="220"/>
        <v>66.771000000000001</v>
      </c>
      <c r="M140" s="22">
        <f t="shared" si="227"/>
        <v>74.358999999999995</v>
      </c>
      <c r="N140" s="22">
        <f t="shared" si="227"/>
        <v>60.670999999999999</v>
      </c>
      <c r="O140" s="22">
        <f t="shared" si="227"/>
        <v>53.347000000000001</v>
      </c>
      <c r="P140" s="22">
        <f t="shared" si="227"/>
        <v>60.488999999999997</v>
      </c>
      <c r="Q140" s="23">
        <f t="shared" si="221"/>
        <v>60.488999999999997</v>
      </c>
      <c r="R140" s="22">
        <f t="shared" si="227"/>
        <v>63.286000000000001</v>
      </c>
      <c r="S140" s="22">
        <f t="shared" si="227"/>
        <v>39.929000000000002</v>
      </c>
      <c r="T140" s="22">
        <f t="shared" si="227"/>
        <v>46.274000000000001</v>
      </c>
      <c r="U140" s="22">
        <f t="shared" si="227"/>
        <v>54.476999999999997</v>
      </c>
      <c r="V140" s="23">
        <f t="shared" si="222"/>
        <v>54.476999999999997</v>
      </c>
      <c r="W140" s="22">
        <f t="shared" si="227"/>
        <v>82.179000000000002</v>
      </c>
      <c r="X140" s="22">
        <f t="shared" si="227"/>
        <v>66.988</v>
      </c>
      <c r="Y140" s="22">
        <f t="shared" si="227"/>
        <v>47.356999999999999</v>
      </c>
      <c r="Z140" s="22">
        <f t="shared" si="227"/>
        <v>23.41</v>
      </c>
      <c r="AA140" s="23">
        <f t="shared" si="223"/>
        <v>23.41</v>
      </c>
      <c r="AB140" s="22">
        <f t="shared" si="227"/>
        <v>50.44</v>
      </c>
      <c r="AC140" s="22">
        <f t="shared" si="227"/>
        <v>23.673999999999999</v>
      </c>
      <c r="AD140" s="22">
        <f t="shared" si="227"/>
        <v>20.658000000000001</v>
      </c>
      <c r="AE140" s="22">
        <f t="shared" si="227"/>
        <v>35.255000000000003</v>
      </c>
      <c r="AF140" s="23">
        <f t="shared" si="224"/>
        <v>35.255000000000003</v>
      </c>
      <c r="AG140" s="22">
        <f t="shared" si="227"/>
        <v>63.637</v>
      </c>
      <c r="AH140" s="22">
        <f t="shared" si="227"/>
        <v>63.637</v>
      </c>
      <c r="AI140" s="22">
        <f t="shared" si="227"/>
        <v>63.637</v>
      </c>
      <c r="AJ140" s="22">
        <f t="shared" si="227"/>
        <v>63.637</v>
      </c>
      <c r="AK140" s="23">
        <f t="shared" si="225"/>
        <v>63.637</v>
      </c>
      <c r="AL140" s="23">
        <f>AL126</f>
        <v>63.637</v>
      </c>
      <c r="AM140" s="23">
        <f>AM126</f>
        <v>63.637</v>
      </c>
      <c r="AN140" s="23">
        <f t="shared" ref="AN140:AT140" si="228">AN126</f>
        <v>63.637</v>
      </c>
      <c r="AO140" s="23">
        <f t="shared" si="228"/>
        <v>63.637</v>
      </c>
      <c r="AP140" s="23">
        <f t="shared" si="228"/>
        <v>63.637</v>
      </c>
      <c r="AQ140" s="23">
        <f t="shared" si="228"/>
        <v>63.637</v>
      </c>
      <c r="AR140" s="23">
        <f t="shared" si="228"/>
        <v>63.637</v>
      </c>
      <c r="AS140" s="23">
        <f t="shared" si="228"/>
        <v>63.637</v>
      </c>
      <c r="AT140" s="23">
        <f t="shared" si="228"/>
        <v>63.637</v>
      </c>
      <c r="AU140" s="8" t="s">
        <v>29</v>
      </c>
    </row>
    <row r="141" spans="1:47" ht="16.2" customHeight="1" x14ac:dyDescent="0.3">
      <c r="B141" s="20" t="s">
        <v>76</v>
      </c>
      <c r="C141" s="22">
        <f>SUM(C142:C144)</f>
        <v>171.02500000000001</v>
      </c>
      <c r="D141" s="22">
        <f t="shared" ref="D141:AJ141" si="229">SUM(D142:D144)</f>
        <v>192.298</v>
      </c>
      <c r="E141" s="22">
        <f t="shared" si="229"/>
        <v>191.00400000000002</v>
      </c>
      <c r="F141" s="22">
        <f t="shared" si="229"/>
        <v>57.067799999999991</v>
      </c>
      <c r="G141" s="23">
        <f t="shared" si="219"/>
        <v>57.067799999999991</v>
      </c>
      <c r="H141" s="22">
        <f t="shared" si="229"/>
        <v>78.388533377599998</v>
      </c>
      <c r="I141" s="22">
        <f t="shared" si="229"/>
        <v>75.3888882376</v>
      </c>
      <c r="J141" s="22">
        <f t="shared" si="229"/>
        <v>77.453483097599999</v>
      </c>
      <c r="K141" s="22">
        <f t="shared" si="229"/>
        <v>88.875487037599996</v>
      </c>
      <c r="L141" s="23">
        <f t="shared" si="220"/>
        <v>88.875487037599996</v>
      </c>
      <c r="M141" s="22">
        <f t="shared" si="229"/>
        <v>94.031639777600006</v>
      </c>
      <c r="N141" s="22">
        <f t="shared" si="229"/>
        <v>84.709913917600005</v>
      </c>
      <c r="O141" s="22">
        <f t="shared" si="229"/>
        <v>97.477199397600003</v>
      </c>
      <c r="P141" s="22">
        <f t="shared" si="229"/>
        <v>115.05049579760001</v>
      </c>
      <c r="Q141" s="23">
        <f t="shared" si="221"/>
        <v>115.05049579760001</v>
      </c>
      <c r="R141" s="22">
        <f t="shared" si="229"/>
        <v>118.1439805176</v>
      </c>
      <c r="S141" s="22">
        <f t="shared" si="229"/>
        <v>109.21913413759999</v>
      </c>
      <c r="T141" s="22">
        <f t="shared" si="229"/>
        <v>117.31105913760001</v>
      </c>
      <c r="U141" s="22">
        <f t="shared" si="229"/>
        <v>129.40022100760001</v>
      </c>
      <c r="V141" s="23">
        <f t="shared" si="222"/>
        <v>129.40022100760001</v>
      </c>
      <c r="W141" s="22">
        <f t="shared" si="229"/>
        <v>136.2914253276</v>
      </c>
      <c r="X141" s="22">
        <f t="shared" si="229"/>
        <v>127.90251510760001</v>
      </c>
      <c r="Y141" s="22">
        <f t="shared" si="229"/>
        <v>137.22792287760001</v>
      </c>
      <c r="Z141" s="22">
        <f t="shared" si="229"/>
        <v>180.05956942</v>
      </c>
      <c r="AA141" s="23">
        <f t="shared" si="223"/>
        <v>180.05956942</v>
      </c>
      <c r="AB141" s="22">
        <f t="shared" si="229"/>
        <v>183.45238557000002</v>
      </c>
      <c r="AC141" s="22">
        <f t="shared" si="229"/>
        <v>163.43172258999999</v>
      </c>
      <c r="AD141" s="22">
        <f t="shared" si="229"/>
        <v>195.86675367999999</v>
      </c>
      <c r="AE141" s="22">
        <f t="shared" si="229"/>
        <v>206.66855275000003</v>
      </c>
      <c r="AF141" s="23">
        <f t="shared" si="224"/>
        <v>206.66855275000003</v>
      </c>
      <c r="AG141" s="22">
        <f t="shared" si="229"/>
        <v>227.70967943999997</v>
      </c>
      <c r="AH141" s="22">
        <f t="shared" ca="1" si="229"/>
        <v>227.70967943999997</v>
      </c>
      <c r="AI141" s="22">
        <f t="shared" ca="1" si="229"/>
        <v>242.67302489454542</v>
      </c>
      <c r="AJ141" s="22">
        <f t="shared" ca="1" si="229"/>
        <v>252.99585563311487</v>
      </c>
      <c r="AK141" s="23">
        <f t="shared" ca="1" si="225"/>
        <v>252.99585563311487</v>
      </c>
      <c r="AL141" s="23">
        <f ca="1">SUM(AL142:AL144)</f>
        <v>281.61057188311486</v>
      </c>
      <c r="AM141" s="23">
        <f ca="1">SUM(AM142:AM144)</f>
        <v>312.61492135186489</v>
      </c>
      <c r="AN141" s="23">
        <f t="shared" ref="AN141:AT141" ca="1" si="230">SUM(AN142:AN144)</f>
        <v>346.17633057061494</v>
      </c>
      <c r="AO141" s="23">
        <f t="shared" ca="1" si="230"/>
        <v>382.47299464069306</v>
      </c>
      <c r="AP141" s="23">
        <f t="shared" ca="1" si="230"/>
        <v>421.6945355241852</v>
      </c>
      <c r="AQ141" s="23">
        <f t="shared" ca="1" si="230"/>
        <v>464.0426992422577</v>
      </c>
      <c r="AR141" s="23">
        <f t="shared" ca="1" si="230"/>
        <v>509.73209422615969</v>
      </c>
      <c r="AS141" s="23">
        <f t="shared" ca="1" si="230"/>
        <v>558.99097319317912</v>
      </c>
      <c r="AT141" s="23">
        <f t="shared" ca="1" si="230"/>
        <v>612.06206105416788</v>
      </c>
      <c r="AU141" s="8" t="s">
        <v>29</v>
      </c>
    </row>
    <row r="142" spans="1:47" ht="16.2" customHeight="1" x14ac:dyDescent="0.3">
      <c r="B142" s="24" t="s">
        <v>114</v>
      </c>
      <c r="C142" s="22">
        <f>C128</f>
        <v>0</v>
      </c>
      <c r="D142" s="22">
        <f t="shared" ref="D142:AJ143" si="231">D128</f>
        <v>30.225000000000001</v>
      </c>
      <c r="E142" s="22">
        <f t="shared" si="231"/>
        <v>30.454999999999998</v>
      </c>
      <c r="F142" s="22">
        <f t="shared" si="231"/>
        <v>0</v>
      </c>
      <c r="G142" s="23">
        <f t="shared" si="219"/>
        <v>0</v>
      </c>
      <c r="H142" s="22">
        <f t="shared" si="231"/>
        <v>0</v>
      </c>
      <c r="I142" s="22">
        <f t="shared" si="231"/>
        <v>0</v>
      </c>
      <c r="J142" s="22">
        <f t="shared" si="231"/>
        <v>0</v>
      </c>
      <c r="K142" s="22">
        <f t="shared" si="231"/>
        <v>0</v>
      </c>
      <c r="L142" s="23">
        <f t="shared" si="220"/>
        <v>0</v>
      </c>
      <c r="M142" s="22">
        <f t="shared" si="231"/>
        <v>0</v>
      </c>
      <c r="N142" s="22">
        <f t="shared" si="231"/>
        <v>0</v>
      </c>
      <c r="O142" s="22">
        <f t="shared" si="231"/>
        <v>0</v>
      </c>
      <c r="P142" s="22">
        <f t="shared" si="231"/>
        <v>0</v>
      </c>
      <c r="Q142" s="23">
        <f t="shared" si="221"/>
        <v>0</v>
      </c>
      <c r="R142" s="22">
        <f t="shared" si="231"/>
        <v>0</v>
      </c>
      <c r="S142" s="22">
        <f t="shared" si="231"/>
        <v>0</v>
      </c>
      <c r="T142" s="22">
        <f t="shared" si="231"/>
        <v>0</v>
      </c>
      <c r="U142" s="22">
        <f t="shared" si="231"/>
        <v>0</v>
      </c>
      <c r="V142" s="23">
        <f t="shared" si="222"/>
        <v>0</v>
      </c>
      <c r="W142" s="22">
        <f t="shared" si="231"/>
        <v>0</v>
      </c>
      <c r="X142" s="22">
        <f t="shared" si="231"/>
        <v>0</v>
      </c>
      <c r="Y142" s="22">
        <f t="shared" si="231"/>
        <v>0</v>
      </c>
      <c r="Z142" s="22">
        <f t="shared" si="231"/>
        <v>0</v>
      </c>
      <c r="AA142" s="23">
        <f t="shared" si="223"/>
        <v>0</v>
      </c>
      <c r="AB142" s="22">
        <f t="shared" si="231"/>
        <v>0</v>
      </c>
      <c r="AC142" s="22">
        <f t="shared" si="231"/>
        <v>0</v>
      </c>
      <c r="AD142" s="22">
        <f t="shared" si="231"/>
        <v>0</v>
      </c>
      <c r="AE142" s="22">
        <f t="shared" si="231"/>
        <v>0</v>
      </c>
      <c r="AF142" s="23">
        <f t="shared" si="224"/>
        <v>0</v>
      </c>
      <c r="AG142" s="22">
        <f t="shared" si="231"/>
        <v>0</v>
      </c>
      <c r="AH142" s="22">
        <f t="shared" ca="1" si="231"/>
        <v>10</v>
      </c>
      <c r="AI142" s="22">
        <f t="shared" ca="1" si="231"/>
        <v>20</v>
      </c>
      <c r="AJ142" s="22">
        <f t="shared" ca="1" si="231"/>
        <v>35.636813693114895</v>
      </c>
      <c r="AK142" s="23">
        <f t="shared" ca="1" si="225"/>
        <v>35.636813693114895</v>
      </c>
      <c r="AL142" s="23">
        <f ca="1">AL128</f>
        <v>54.509813693114893</v>
      </c>
      <c r="AM142" s="23">
        <f ca="1">AM128</f>
        <v>54.509813693114893</v>
      </c>
      <c r="AN142" s="23">
        <f t="shared" ref="AN142:AT142" ca="1" si="232">AN128</f>
        <v>54.509813693114893</v>
      </c>
      <c r="AO142" s="23">
        <f t="shared" ca="1" si="232"/>
        <v>54.509813693114893</v>
      </c>
      <c r="AP142" s="23">
        <f t="shared" ca="1" si="232"/>
        <v>54.509813693114893</v>
      </c>
      <c r="AQ142" s="23">
        <f t="shared" ca="1" si="232"/>
        <v>54.509813693114893</v>
      </c>
      <c r="AR142" s="23">
        <f t="shared" ca="1" si="232"/>
        <v>54.509813693114893</v>
      </c>
      <c r="AS142" s="23">
        <f t="shared" ca="1" si="232"/>
        <v>54.509813693114893</v>
      </c>
      <c r="AT142" s="23">
        <f t="shared" ca="1" si="232"/>
        <v>54.509813693114893</v>
      </c>
      <c r="AU142" s="8" t="s">
        <v>29</v>
      </c>
    </row>
    <row r="143" spans="1:47" ht="16.2" customHeight="1" x14ac:dyDescent="0.3">
      <c r="B143" s="24" t="s">
        <v>115</v>
      </c>
      <c r="C143" s="22">
        <f>C129</f>
        <v>123.295</v>
      </c>
      <c r="D143" s="22">
        <f t="shared" si="231"/>
        <v>114.06399999999999</v>
      </c>
      <c r="E143" s="22">
        <f t="shared" si="231"/>
        <v>114.06399999999999</v>
      </c>
      <c r="F143" s="22">
        <f t="shared" si="231"/>
        <v>6.1349999999999998</v>
      </c>
      <c r="G143" s="23">
        <f t="shared" si="219"/>
        <v>6.1349999999999998</v>
      </c>
      <c r="H143" s="22">
        <f t="shared" si="231"/>
        <v>6.1349999999999998</v>
      </c>
      <c r="I143" s="22">
        <f t="shared" si="231"/>
        <v>0</v>
      </c>
      <c r="J143" s="22">
        <f t="shared" si="231"/>
        <v>0</v>
      </c>
      <c r="K143" s="22">
        <f t="shared" si="231"/>
        <v>9.8810000000000002</v>
      </c>
      <c r="L143" s="23">
        <f t="shared" si="220"/>
        <v>9.8810000000000002</v>
      </c>
      <c r="M143" s="22">
        <f t="shared" si="231"/>
        <v>9.8810000000000002</v>
      </c>
      <c r="N143" s="22">
        <f t="shared" si="231"/>
        <v>0</v>
      </c>
      <c r="O143" s="22">
        <f t="shared" si="231"/>
        <v>8.65</v>
      </c>
      <c r="P143" s="22">
        <f t="shared" si="231"/>
        <v>23.683</v>
      </c>
      <c r="Q143" s="23">
        <f t="shared" si="221"/>
        <v>23.683</v>
      </c>
      <c r="R143" s="22">
        <f t="shared" si="231"/>
        <v>27.106999999999999</v>
      </c>
      <c r="S143" s="22">
        <f t="shared" si="231"/>
        <v>10.388999999999999</v>
      </c>
      <c r="T143" s="22">
        <f t="shared" si="231"/>
        <v>15.571999999999999</v>
      </c>
      <c r="U143" s="22">
        <f t="shared" si="231"/>
        <v>27.472999999999999</v>
      </c>
      <c r="V143" s="23">
        <f t="shared" si="222"/>
        <v>27.472999999999999</v>
      </c>
      <c r="W143" s="22">
        <f t="shared" si="231"/>
        <v>33.113</v>
      </c>
      <c r="X143" s="22">
        <f t="shared" si="231"/>
        <v>12.327</v>
      </c>
      <c r="Y143" s="22">
        <f t="shared" si="231"/>
        <v>18.303999999999998</v>
      </c>
      <c r="Z143" s="22">
        <f t="shared" si="231"/>
        <v>28.776</v>
      </c>
      <c r="AA143" s="23">
        <f t="shared" si="223"/>
        <v>28.776</v>
      </c>
      <c r="AB143" s="22">
        <f t="shared" si="231"/>
        <v>36.220999999999997</v>
      </c>
      <c r="AC143" s="22">
        <f t="shared" si="231"/>
        <v>17.11</v>
      </c>
      <c r="AD143" s="22">
        <f t="shared" si="231"/>
        <v>26.451000000000001</v>
      </c>
      <c r="AE143" s="22">
        <f t="shared" si="231"/>
        <v>35.746000000000002</v>
      </c>
      <c r="AF143" s="23">
        <f t="shared" si="224"/>
        <v>35.746000000000002</v>
      </c>
      <c r="AG143" s="22">
        <f t="shared" si="231"/>
        <v>48.872999999999998</v>
      </c>
      <c r="AH143" s="22">
        <f t="shared" si="231"/>
        <v>38.872999999999998</v>
      </c>
      <c r="AI143" s="22">
        <f t="shared" si="231"/>
        <v>28.872999999999998</v>
      </c>
      <c r="AJ143" s="22">
        <f t="shared" si="231"/>
        <v>18.872999999999998</v>
      </c>
      <c r="AK143" s="23">
        <f t="shared" si="225"/>
        <v>18.872999999999998</v>
      </c>
      <c r="AL143" s="23">
        <f>AL129</f>
        <v>0</v>
      </c>
      <c r="AM143" s="23">
        <f>AM129</f>
        <v>0</v>
      </c>
      <c r="AN143" s="23">
        <f t="shared" ref="AN143:AT143" si="233">AN129</f>
        <v>0</v>
      </c>
      <c r="AO143" s="23">
        <f t="shared" si="233"/>
        <v>0</v>
      </c>
      <c r="AP143" s="23">
        <f t="shared" si="233"/>
        <v>0</v>
      </c>
      <c r="AQ143" s="23">
        <f t="shared" si="233"/>
        <v>0</v>
      </c>
      <c r="AR143" s="23">
        <f t="shared" si="233"/>
        <v>0</v>
      </c>
      <c r="AS143" s="23">
        <f t="shared" si="233"/>
        <v>0</v>
      </c>
      <c r="AT143" s="23">
        <f t="shared" si="233"/>
        <v>0</v>
      </c>
      <c r="AU143" s="8" t="s">
        <v>29</v>
      </c>
    </row>
    <row r="144" spans="1:47" ht="16.2" customHeight="1" x14ac:dyDescent="0.3">
      <c r="B144" s="24" t="s">
        <v>122</v>
      </c>
      <c r="C144" s="33">
        <f>C75+C81</f>
        <v>47.730000000000004</v>
      </c>
      <c r="D144" s="33">
        <f t="shared" ref="D144:AJ144" si="234">D75+D81</f>
        <v>48.009</v>
      </c>
      <c r="E144" s="33">
        <f t="shared" si="234"/>
        <v>46.484999999999999</v>
      </c>
      <c r="F144" s="33">
        <f t="shared" si="234"/>
        <v>50.932799999999993</v>
      </c>
      <c r="G144" s="34">
        <f t="shared" si="219"/>
        <v>50.932799999999993</v>
      </c>
      <c r="H144" s="33">
        <f t="shared" si="234"/>
        <v>72.253533377599993</v>
      </c>
      <c r="I144" s="33">
        <f t="shared" si="234"/>
        <v>75.3888882376</v>
      </c>
      <c r="J144" s="33">
        <f t="shared" si="234"/>
        <v>77.453483097599999</v>
      </c>
      <c r="K144" s="33">
        <f t="shared" si="234"/>
        <v>78.994487037599995</v>
      </c>
      <c r="L144" s="34">
        <f t="shared" si="220"/>
        <v>78.994487037599995</v>
      </c>
      <c r="M144" s="33">
        <f t="shared" si="234"/>
        <v>84.150639777600006</v>
      </c>
      <c r="N144" s="33">
        <f t="shared" si="234"/>
        <v>84.709913917600005</v>
      </c>
      <c r="O144" s="33">
        <f t="shared" si="234"/>
        <v>88.827199397599998</v>
      </c>
      <c r="P144" s="33">
        <f t="shared" si="234"/>
        <v>91.3674957976</v>
      </c>
      <c r="Q144" s="34">
        <f t="shared" si="221"/>
        <v>91.3674957976</v>
      </c>
      <c r="R144" s="33">
        <f t="shared" si="234"/>
        <v>91.0369805176</v>
      </c>
      <c r="S144" s="33">
        <f t="shared" si="234"/>
        <v>98.830134137599998</v>
      </c>
      <c r="T144" s="33">
        <f t="shared" si="234"/>
        <v>101.73905913760001</v>
      </c>
      <c r="U144" s="33">
        <f t="shared" si="234"/>
        <v>101.92722100760001</v>
      </c>
      <c r="V144" s="34">
        <f t="shared" si="222"/>
        <v>101.92722100760001</v>
      </c>
      <c r="W144" s="33">
        <f t="shared" si="234"/>
        <v>103.1784253276</v>
      </c>
      <c r="X144" s="33">
        <f t="shared" si="234"/>
        <v>115.57551510760001</v>
      </c>
      <c r="Y144" s="33">
        <f t="shared" si="234"/>
        <v>118.92392287760001</v>
      </c>
      <c r="Z144" s="33">
        <f t="shared" si="234"/>
        <v>151.28356941999999</v>
      </c>
      <c r="AA144" s="34">
        <f t="shared" si="223"/>
        <v>151.28356941999999</v>
      </c>
      <c r="AB144" s="33">
        <f t="shared" si="234"/>
        <v>147.23138557000001</v>
      </c>
      <c r="AC144" s="33">
        <f t="shared" si="234"/>
        <v>146.32172259000001</v>
      </c>
      <c r="AD144" s="33">
        <f t="shared" si="234"/>
        <v>169.41575367999999</v>
      </c>
      <c r="AE144" s="33">
        <f t="shared" si="234"/>
        <v>170.92255275000002</v>
      </c>
      <c r="AF144" s="34">
        <f t="shared" si="224"/>
        <v>170.92255275000002</v>
      </c>
      <c r="AG144" s="33">
        <f t="shared" si="234"/>
        <v>178.83667943999998</v>
      </c>
      <c r="AH144" s="33">
        <f t="shared" si="234"/>
        <v>178.83667943999998</v>
      </c>
      <c r="AI144" s="33">
        <f t="shared" si="234"/>
        <v>193.80002489454543</v>
      </c>
      <c r="AJ144" s="33">
        <f t="shared" si="234"/>
        <v>198.48604193999998</v>
      </c>
      <c r="AK144" s="34">
        <f t="shared" si="225"/>
        <v>198.48604193999998</v>
      </c>
      <c r="AL144" s="34">
        <f>AL75+AL81</f>
        <v>227.10075818999999</v>
      </c>
      <c r="AM144" s="34">
        <f>AM75+AM81</f>
        <v>258.10510765875</v>
      </c>
      <c r="AN144" s="34">
        <f t="shared" ref="AN144:AT144" si="235">AN75+AN81</f>
        <v>291.66651687750004</v>
      </c>
      <c r="AO144" s="34">
        <f t="shared" si="235"/>
        <v>327.96318094757817</v>
      </c>
      <c r="AP144" s="34">
        <f t="shared" si="235"/>
        <v>367.18472183107031</v>
      </c>
      <c r="AQ144" s="34">
        <f t="shared" si="235"/>
        <v>409.5328855491428</v>
      </c>
      <c r="AR144" s="34">
        <f t="shared" si="235"/>
        <v>455.2222805330448</v>
      </c>
      <c r="AS144" s="34">
        <f t="shared" si="235"/>
        <v>504.48115950006428</v>
      </c>
      <c r="AT144" s="34">
        <f t="shared" si="235"/>
        <v>557.55224736105299</v>
      </c>
      <c r="AU144" s="8" t="s">
        <v>29</v>
      </c>
    </row>
    <row r="145" spans="1:47" ht="7.95" customHeight="1" x14ac:dyDescent="0.3">
      <c r="G145" s="7"/>
      <c r="L145" s="7"/>
      <c r="Q145" s="7"/>
      <c r="V145" s="7"/>
      <c r="AA145" s="7"/>
      <c r="AF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8" t="s">
        <v>29</v>
      </c>
    </row>
    <row r="146" spans="1:47" ht="16.2" customHeight="1" x14ac:dyDescent="0.3">
      <c r="B146" s="6" t="s">
        <v>116</v>
      </c>
      <c r="F146" s="22">
        <f>F131</f>
        <v>51.54069078052806</v>
      </c>
      <c r="G146" s="23">
        <f>F146</f>
        <v>51.54069078052806</v>
      </c>
      <c r="H146" s="22">
        <f t="shared" ref="H146:AJ146" si="236">H131</f>
        <v>58.323690780528068</v>
      </c>
      <c r="I146" s="22">
        <f t="shared" si="236"/>
        <v>77.414735980528121</v>
      </c>
      <c r="J146" s="22">
        <f t="shared" si="236"/>
        <v>91.530064240590136</v>
      </c>
      <c r="K146" s="22">
        <f t="shared" si="236"/>
        <v>101.87793731716189</v>
      </c>
      <c r="L146" s="23">
        <f>K146</f>
        <v>101.87793731716189</v>
      </c>
      <c r="M146" s="22">
        <f t="shared" si="236"/>
        <v>123.25973273716197</v>
      </c>
      <c r="N146" s="22">
        <f t="shared" si="236"/>
        <v>131.89843588716192</v>
      </c>
      <c r="O146" s="22">
        <f t="shared" si="236"/>
        <v>139.10415506757587</v>
      </c>
      <c r="P146" s="22">
        <f t="shared" si="236"/>
        <v>143.76111295239809</v>
      </c>
      <c r="Q146" s="23">
        <f>P146</f>
        <v>143.76111295239809</v>
      </c>
      <c r="R146" s="22">
        <f t="shared" si="236"/>
        <v>149.167999062398</v>
      </c>
      <c r="S146" s="22">
        <f t="shared" si="236"/>
        <v>161.2439120923982</v>
      </c>
      <c r="T146" s="22">
        <f t="shared" si="236"/>
        <v>168.28523811192224</v>
      </c>
      <c r="U146" s="22">
        <f t="shared" si="236"/>
        <v>173.73034012000005</v>
      </c>
      <c r="V146" s="23">
        <f>U146</f>
        <v>173.73034012000005</v>
      </c>
      <c r="W146" s="22">
        <f t="shared" si="236"/>
        <v>177.36496812999999</v>
      </c>
      <c r="X146" s="22">
        <f t="shared" si="236"/>
        <v>180.33530674999986</v>
      </c>
      <c r="Y146" s="22">
        <f t="shared" si="236"/>
        <v>184.06199431999983</v>
      </c>
      <c r="Z146" s="22">
        <f t="shared" si="236"/>
        <v>196.22544405999994</v>
      </c>
      <c r="AA146" s="23">
        <f>Z146</f>
        <v>196.22544405999994</v>
      </c>
      <c r="AB146" s="22">
        <f t="shared" si="236"/>
        <v>213.39874726354492</v>
      </c>
      <c r="AC146" s="22">
        <f t="shared" si="236"/>
        <v>227.85574726354491</v>
      </c>
      <c r="AD146" s="22">
        <f t="shared" si="236"/>
        <v>239.72134182697991</v>
      </c>
      <c r="AE146" s="22">
        <f t="shared" si="236"/>
        <v>249.41326833697994</v>
      </c>
      <c r="AF146" s="23">
        <f>AE146</f>
        <v>249.41326833697994</v>
      </c>
      <c r="AG146" s="22">
        <f t="shared" si="236"/>
        <v>254.61665559343498</v>
      </c>
      <c r="AH146" s="22">
        <f t="shared" si="236"/>
        <v>263.14488631135237</v>
      </c>
      <c r="AI146" s="22">
        <f t="shared" si="236"/>
        <v>277.51828034598566</v>
      </c>
      <c r="AJ146" s="22">
        <f t="shared" si="236"/>
        <v>297.94183499307849</v>
      </c>
      <c r="AK146" s="23">
        <f>AJ146</f>
        <v>297.94183499307849</v>
      </c>
      <c r="AL146" s="23">
        <f>AL131</f>
        <v>353.14298769896124</v>
      </c>
      <c r="AM146" s="23">
        <f>AM131</f>
        <v>416.63398250665597</v>
      </c>
      <c r="AN146" s="23">
        <f t="shared" ref="AN146:AT146" si="237">AN131</f>
        <v>487.75857111594081</v>
      </c>
      <c r="AO146" s="23">
        <f t="shared" si="237"/>
        <v>567.20042289782316</v>
      </c>
      <c r="AP146" s="23">
        <f t="shared" si="237"/>
        <v>655.69481647517171</v>
      </c>
      <c r="AQ146" s="23">
        <f t="shared" si="237"/>
        <v>754.03213919401787</v>
      </c>
      <c r="AR146" s="23">
        <f t="shared" si="237"/>
        <v>863.06160771623945</v>
      </c>
      <c r="AS146" s="23">
        <f t="shared" si="237"/>
        <v>983.69522308158821</v>
      </c>
      <c r="AT146" s="23">
        <f t="shared" si="237"/>
        <v>1116.9119743724398</v>
      </c>
      <c r="AU146" s="8" t="s">
        <v>29</v>
      </c>
    </row>
    <row r="147" spans="1:47" ht="7.95" customHeight="1" x14ac:dyDescent="0.3">
      <c r="G147" s="7"/>
      <c r="L147" s="7"/>
      <c r="Q147" s="7"/>
      <c r="V147" s="7"/>
      <c r="AA147" s="7"/>
      <c r="AF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8" t="s">
        <v>29</v>
      </c>
    </row>
    <row r="148" spans="1:47" ht="16.2" customHeight="1" x14ac:dyDescent="0.3">
      <c r="B148" s="54" t="s">
        <v>123</v>
      </c>
      <c r="F148" s="56">
        <f>F139/F146</f>
        <v>-0.62104716710729457</v>
      </c>
      <c r="G148" s="57">
        <f>G139/G146</f>
        <v>-0.62104716710729457</v>
      </c>
      <c r="H148" s="56">
        <f t="shared" ref="H148:AJ148" si="238">H139/H146</f>
        <v>-0.13046956597850459</v>
      </c>
      <c r="I148" s="56">
        <f t="shared" si="238"/>
        <v>0.15458152877521916</v>
      </c>
      <c r="J148" s="56">
        <f t="shared" si="238"/>
        <v>0.15572460497934529</v>
      </c>
      <c r="K148" s="56">
        <f t="shared" si="238"/>
        <v>0.21697030406873358</v>
      </c>
      <c r="L148" s="57">
        <f>L139/L146</f>
        <v>0.21697030406873358</v>
      </c>
      <c r="M148" s="56">
        <f t="shared" si="238"/>
        <v>0.15960313510941798</v>
      </c>
      <c r="N148" s="56">
        <f t="shared" si="238"/>
        <v>0.18225321442147432</v>
      </c>
      <c r="O148" s="56">
        <f t="shared" si="238"/>
        <v>0.31724573127353273</v>
      </c>
      <c r="P148" s="56">
        <f t="shared" si="238"/>
        <v>0.3795288912076405</v>
      </c>
      <c r="Q148" s="57">
        <f>Q139/Q146</f>
        <v>0.3795288912076405</v>
      </c>
      <c r="R148" s="56">
        <f t="shared" si="238"/>
        <v>0.36775971295728466</v>
      </c>
      <c r="S148" s="56">
        <f t="shared" si="238"/>
        <v>0.42972248216040804</v>
      </c>
      <c r="T148" s="56">
        <f t="shared" si="238"/>
        <v>0.4221229380223776</v>
      </c>
      <c r="U148" s="56">
        <f t="shared" si="238"/>
        <v>0.43126158019289318</v>
      </c>
      <c r="V148" s="57">
        <f>V139/V146</f>
        <v>0.43126158019289318</v>
      </c>
      <c r="W148" s="56">
        <f t="shared" si="238"/>
        <v>0.30509082993174946</v>
      </c>
      <c r="X148" s="56">
        <f t="shared" si="238"/>
        <v>0.33778474224155253</v>
      </c>
      <c r="Y148" s="56">
        <f t="shared" si="238"/>
        <v>0.48826441987450969</v>
      </c>
      <c r="Z148" s="56">
        <f t="shared" si="238"/>
        <v>0.79831425618841356</v>
      </c>
      <c r="AA148" s="57">
        <f>AA139/AA146</f>
        <v>0.79831425618841356</v>
      </c>
      <c r="AB148" s="56">
        <f t="shared" si="238"/>
        <v>0.62330443489310317</v>
      </c>
      <c r="AC148" s="56">
        <f t="shared" si="238"/>
        <v>0.61336053300578786</v>
      </c>
      <c r="AD148" s="56">
        <f t="shared" si="238"/>
        <v>0.73088508659549289</v>
      </c>
      <c r="AE148" s="56">
        <f t="shared" si="238"/>
        <v>0.68726717665398929</v>
      </c>
      <c r="AF148" s="57">
        <f>AF139/AF146</f>
        <v>0.68726717665398929</v>
      </c>
      <c r="AG148" s="56">
        <f t="shared" si="238"/>
        <v>0.6443909926379161</v>
      </c>
      <c r="AH148" s="56">
        <f t="shared" ca="1" si="238"/>
        <v>0.62350700308068918</v>
      </c>
      <c r="AI148" s="56">
        <f t="shared" ca="1" si="238"/>
        <v>0.64513236631237003</v>
      </c>
      <c r="AJ148" s="56">
        <f t="shared" ca="1" si="238"/>
        <v>0.63555645227704893</v>
      </c>
      <c r="AK148" s="57">
        <f ca="1">AK139/AK146</f>
        <v>0.63555645227704893</v>
      </c>
      <c r="AL148" s="57">
        <f ca="1">AL139/AL146</f>
        <v>0.61723885076525342</v>
      </c>
      <c r="AM148" s="57">
        <f ca="1">AM139/AM146</f>
        <v>0.59759388769466815</v>
      </c>
      <c r="AN148" s="57">
        <f t="shared" ref="AN148:AT148" ca="1" si="239">AN139/AN146</f>
        <v>0.57926061642380655</v>
      </c>
      <c r="AO148" s="57">
        <f t="shared" ca="1" si="239"/>
        <v>0.56212227947885174</v>
      </c>
      <c r="AP148" s="57">
        <f t="shared" ca="1" si="239"/>
        <v>0.54607345754081205</v>
      </c>
      <c r="AQ148" s="57">
        <f t="shared" ca="1" si="239"/>
        <v>0.53101940677256787</v>
      </c>
      <c r="AR148" s="57">
        <f t="shared" ca="1" si="239"/>
        <v>0.5168751456881262</v>
      </c>
      <c r="AS148" s="57">
        <f t="shared" ca="1" si="239"/>
        <v>0.50356447969870255</v>
      </c>
      <c r="AT148" s="57">
        <f t="shared" ca="1" si="239"/>
        <v>0.49101905399690238</v>
      </c>
      <c r="AU148" s="8" t="s">
        <v>29</v>
      </c>
    </row>
    <row r="149" spans="1:47" ht="7.95" customHeight="1" x14ac:dyDescent="0.3">
      <c r="G149" s="7"/>
      <c r="L149" s="7"/>
      <c r="Q149" s="7"/>
      <c r="V149" s="7"/>
      <c r="AA149" s="7"/>
      <c r="AF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8" t="s">
        <v>29</v>
      </c>
    </row>
    <row r="150" spans="1:47" ht="16.2" customHeight="1" x14ac:dyDescent="0.3">
      <c r="A150" s="9" t="s">
        <v>30</v>
      </c>
      <c r="B150" s="10" t="s">
        <v>124</v>
      </c>
      <c r="C150" s="11"/>
      <c r="D150" s="11"/>
      <c r="E150" s="11"/>
      <c r="F150" s="11"/>
      <c r="G150" s="12"/>
      <c r="H150" s="11"/>
      <c r="I150" s="11"/>
      <c r="J150" s="11"/>
      <c r="K150" s="11"/>
      <c r="L150" s="12"/>
      <c r="M150" s="11"/>
      <c r="N150" s="11"/>
      <c r="O150" s="11"/>
      <c r="P150" s="11"/>
      <c r="Q150" s="12"/>
      <c r="R150" s="11"/>
      <c r="S150" s="11"/>
      <c r="T150" s="11"/>
      <c r="U150" s="11"/>
      <c r="V150" s="12"/>
      <c r="W150" s="11"/>
      <c r="X150" s="11"/>
      <c r="Y150" s="11"/>
      <c r="Z150" s="11"/>
      <c r="AA150" s="12"/>
      <c r="AB150" s="11"/>
      <c r="AC150" s="11"/>
      <c r="AD150" s="11"/>
      <c r="AE150" s="11"/>
      <c r="AF150" s="12"/>
      <c r="AG150" s="11"/>
      <c r="AH150" s="11"/>
      <c r="AI150" s="11"/>
      <c r="AJ150" s="11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8" t="s">
        <v>29</v>
      </c>
    </row>
    <row r="151" spans="1:47" ht="7.95" customHeight="1" x14ac:dyDescent="0.3">
      <c r="B151" s="61"/>
      <c r="G151" s="7"/>
      <c r="L151" s="7"/>
      <c r="Q151" s="7"/>
      <c r="V151" s="7"/>
      <c r="AA151" s="7"/>
      <c r="AF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8" t="s">
        <v>29</v>
      </c>
    </row>
    <row r="152" spans="1:47" ht="16.2" customHeight="1" x14ac:dyDescent="0.3">
      <c r="B152" s="5" t="s">
        <v>125</v>
      </c>
      <c r="C152" s="28">
        <f>SUM(C153:C155)</f>
        <v>0.89900000000000002</v>
      </c>
      <c r="D152" s="28">
        <f t="shared" ref="D152:AG152" si="240">SUM(D153:D155)</f>
        <v>0.23100000000000001</v>
      </c>
      <c r="E152" s="28">
        <f t="shared" si="240"/>
        <v>0</v>
      </c>
      <c r="F152" s="28">
        <f t="shared" si="240"/>
        <v>114.06399999999999</v>
      </c>
      <c r="G152" s="29">
        <f>SUM(C152:F152)</f>
        <v>115.19399999999999</v>
      </c>
      <c r="H152" s="28">
        <f t="shared" si="240"/>
        <v>0</v>
      </c>
      <c r="I152" s="28">
        <f t="shared" si="240"/>
        <v>6.1349999999999998</v>
      </c>
      <c r="J152" s="28">
        <f t="shared" si="240"/>
        <v>0</v>
      </c>
      <c r="K152" s="28">
        <f t="shared" si="240"/>
        <v>9.5299999999999994</v>
      </c>
      <c r="L152" s="29">
        <f>SUM(H152:K152)</f>
        <v>15.664999999999999</v>
      </c>
      <c r="M152" s="28">
        <f t="shared" si="240"/>
        <v>0</v>
      </c>
      <c r="N152" s="28">
        <f t="shared" si="240"/>
        <v>9.8810000000000002</v>
      </c>
      <c r="O152" s="28">
        <f t="shared" si="240"/>
        <v>0</v>
      </c>
      <c r="P152" s="28">
        <f t="shared" si="240"/>
        <v>12.256</v>
      </c>
      <c r="Q152" s="29">
        <f>SUM(M152:P152)</f>
        <v>22.137</v>
      </c>
      <c r="R152" s="28">
        <f t="shared" si="240"/>
        <v>0.15273963999999998</v>
      </c>
      <c r="S152" s="28">
        <f t="shared" si="240"/>
        <v>24.36</v>
      </c>
      <c r="T152" s="28">
        <f t="shared" si="240"/>
        <v>0.66200000000000003</v>
      </c>
      <c r="U152" s="28">
        <f t="shared" si="240"/>
        <v>0.69799999999999995</v>
      </c>
      <c r="V152" s="29">
        <f>SUM(R152:U152)</f>
        <v>25.872739639999999</v>
      </c>
      <c r="W152" s="28">
        <f t="shared" si="240"/>
        <v>0.99</v>
      </c>
      <c r="X152" s="28">
        <f t="shared" si="240"/>
        <v>33.781090999999996</v>
      </c>
      <c r="Y152" s="28">
        <f t="shared" si="240"/>
        <v>13.019909</v>
      </c>
      <c r="Z152" s="28">
        <f t="shared" si="240"/>
        <v>10.898</v>
      </c>
      <c r="AA152" s="29">
        <f>SUM(W152:Z152)</f>
        <v>58.688999999999993</v>
      </c>
      <c r="AB152" s="28">
        <f t="shared" si="240"/>
        <v>16.131</v>
      </c>
      <c r="AC152" s="28">
        <f t="shared" si="240"/>
        <v>29.942</v>
      </c>
      <c r="AD152" s="28">
        <f t="shared" si="240"/>
        <v>1.17</v>
      </c>
      <c r="AE152" s="28">
        <f t="shared" si="240"/>
        <v>1.2310000000000001</v>
      </c>
      <c r="AF152" s="29">
        <f>SUM(AB152:AE152)</f>
        <v>48.474000000000004</v>
      </c>
      <c r="AG152" s="28">
        <f t="shared" si="240"/>
        <v>2.9370000000000003</v>
      </c>
      <c r="AH152" s="28">
        <f ca="1">AH157*AH46</f>
        <v>18.446691621845446</v>
      </c>
      <c r="AI152" s="28">
        <f t="shared" ref="AI152:AJ152" ca="1" si="241">AI157*AI46</f>
        <v>38.115839606470175</v>
      </c>
      <c r="AJ152" s="28">
        <f t="shared" ca="1" si="241"/>
        <v>0</v>
      </c>
      <c r="AK152" s="29">
        <f ca="1">SUM(AG152:AJ152)</f>
        <v>59.499531228315618</v>
      </c>
      <c r="AL152" s="29">
        <f ca="1">AL157*AL46</f>
        <v>93.778026197897617</v>
      </c>
      <c r="AM152" s="29">
        <f ca="1">AM157*AM46</f>
        <v>146.38898610037478</v>
      </c>
      <c r="AN152" s="29">
        <f t="shared" ref="AN152:AT152" ca="1" si="242">AN157*AN46</f>
        <v>185.43464071647338</v>
      </c>
      <c r="AO152" s="29">
        <f t="shared" ca="1" si="242"/>
        <v>229.86164439368565</v>
      </c>
      <c r="AP152" s="29">
        <f t="shared" ca="1" si="242"/>
        <v>280.00355644079275</v>
      </c>
      <c r="AQ152" s="29">
        <f t="shared" ca="1" si="242"/>
        <v>336.41563148115142</v>
      </c>
      <c r="AR152" s="29">
        <f t="shared" ca="1" si="242"/>
        <v>399.69186306708787</v>
      </c>
      <c r="AS152" s="29">
        <f t="shared" ca="1" si="242"/>
        <v>470.46857523670138</v>
      </c>
      <c r="AT152" s="29">
        <f t="shared" ca="1" si="242"/>
        <v>549.42803498882199</v>
      </c>
      <c r="AU152" s="8" t="s">
        <v>29</v>
      </c>
    </row>
    <row r="153" spans="1:47" ht="16.2" customHeight="1" x14ac:dyDescent="0.3">
      <c r="B153" s="20" t="s">
        <v>125</v>
      </c>
      <c r="C153" s="22">
        <v>0.89900000000000002</v>
      </c>
      <c r="D153" s="22">
        <v>0.23100000000000001</v>
      </c>
      <c r="E153" s="22">
        <v>0</v>
      </c>
      <c r="F153" s="22">
        <v>114.06399999999999</v>
      </c>
      <c r="G153" s="23">
        <f>SUM(C153:F153)</f>
        <v>115.19399999999999</v>
      </c>
      <c r="H153" s="22">
        <v>0</v>
      </c>
      <c r="I153" s="22">
        <v>6.1349999999999998</v>
      </c>
      <c r="J153" s="22">
        <v>0</v>
      </c>
      <c r="K153" s="22">
        <v>0</v>
      </c>
      <c r="L153" s="23">
        <f>SUM(H153:K153)</f>
        <v>6.1349999999999998</v>
      </c>
      <c r="M153" s="22">
        <v>0</v>
      </c>
      <c r="N153" s="22">
        <v>9.8810000000000002</v>
      </c>
      <c r="O153" s="22">
        <v>0</v>
      </c>
      <c r="P153" s="22">
        <v>0</v>
      </c>
      <c r="Q153" s="23">
        <f>SUM(M153:P153)</f>
        <v>9.8810000000000002</v>
      </c>
      <c r="R153" s="22">
        <v>0</v>
      </c>
      <c r="S153" s="22">
        <v>5.3920000000000003</v>
      </c>
      <c r="T153" s="22">
        <v>0</v>
      </c>
      <c r="U153" s="22">
        <v>0</v>
      </c>
      <c r="V153" s="23">
        <f>SUM(R153:U153)</f>
        <v>5.3920000000000003</v>
      </c>
      <c r="W153" s="22">
        <v>0</v>
      </c>
      <c r="X153" s="22">
        <v>7.2110000000000003</v>
      </c>
      <c r="Y153" s="22">
        <v>0</v>
      </c>
      <c r="Z153" s="22">
        <v>0</v>
      </c>
      <c r="AA153" s="23">
        <f>SUM(W153:Z153)</f>
        <v>7.2110000000000003</v>
      </c>
      <c r="AB153" s="22">
        <v>0</v>
      </c>
      <c r="AC153" s="22">
        <v>4.1790000000000003</v>
      </c>
      <c r="AD153" s="22">
        <v>0</v>
      </c>
      <c r="AE153" s="22">
        <v>0</v>
      </c>
      <c r="AF153" s="23">
        <f>SUM(AB153:AE153)</f>
        <v>4.1790000000000003</v>
      </c>
      <c r="AG153" s="22">
        <v>0</v>
      </c>
      <c r="AH153" s="33">
        <f ca="1">AH152-AH154</f>
        <v>6.211103512949613</v>
      </c>
      <c r="AI153" s="33">
        <f t="shared" ref="AI153:AJ153" ca="1" si="243">AI152-AI154</f>
        <v>25.56618892301357</v>
      </c>
      <c r="AJ153" s="33">
        <f t="shared" ca="1" si="243"/>
        <v>0</v>
      </c>
      <c r="AK153" s="34">
        <f ca="1">SUM(AG153:AJ153)</f>
        <v>31.777292435963183</v>
      </c>
      <c r="AL153" s="34">
        <f ca="1">AL152-AL154</f>
        <v>37.676798844532009</v>
      </c>
      <c r="AM153" s="34">
        <f ca="1">AM152-AM154</f>
        <v>81.531826289613491</v>
      </c>
      <c r="AN153" s="34">
        <f t="shared" ref="AN153:AT153" ca="1" si="244">AN152-AN154</f>
        <v>111.01926758424075</v>
      </c>
      <c r="AO153" s="34">
        <f t="shared" ca="1" si="244"/>
        <v>145.21680291914043</v>
      </c>
      <c r="AP153" s="34">
        <f t="shared" ca="1" si="244"/>
        <v>184.40233440366873</v>
      </c>
      <c r="AQ153" s="34">
        <f t="shared" ca="1" si="244"/>
        <v>229.07468264932362</v>
      </c>
      <c r="AR153" s="34">
        <f t="shared" ca="1" si="244"/>
        <v>279.77006449535617</v>
      </c>
      <c r="AS153" s="34">
        <f t="shared" ca="1" si="244"/>
        <v>337.06520885659137</v>
      </c>
      <c r="AT153" s="34">
        <f t="shared" ca="1" si="244"/>
        <v>401.58055849706346</v>
      </c>
      <c r="AU153" s="8" t="s">
        <v>29</v>
      </c>
    </row>
    <row r="154" spans="1:47" ht="16.2" customHeight="1" x14ac:dyDescent="0.3">
      <c r="B154" s="20" t="s">
        <v>126</v>
      </c>
      <c r="C154" s="22">
        <v>0</v>
      </c>
      <c r="D154" s="22">
        <v>0</v>
      </c>
      <c r="E154" s="22">
        <v>0</v>
      </c>
      <c r="F154" s="22">
        <v>0</v>
      </c>
      <c r="G154" s="23">
        <f>SUM(C154:F154)</f>
        <v>0</v>
      </c>
      <c r="H154" s="22">
        <v>0</v>
      </c>
      <c r="I154" s="22">
        <v>0</v>
      </c>
      <c r="J154" s="22">
        <v>0</v>
      </c>
      <c r="K154" s="22">
        <v>9.5299999999999994</v>
      </c>
      <c r="L154" s="23">
        <f>SUM(H154:K154)</f>
        <v>9.5299999999999994</v>
      </c>
      <c r="M154" s="22">
        <v>0</v>
      </c>
      <c r="N154" s="22">
        <v>0</v>
      </c>
      <c r="O154" s="22">
        <v>0</v>
      </c>
      <c r="P154" s="22">
        <v>0</v>
      </c>
      <c r="Q154" s="23">
        <f>SUM(M154:P154)</f>
        <v>0</v>
      </c>
      <c r="R154" s="22">
        <v>0</v>
      </c>
      <c r="S154" s="22">
        <v>18.968</v>
      </c>
      <c r="T154" s="22">
        <v>0.66200000000000003</v>
      </c>
      <c r="U154" s="22">
        <v>0.69799999999999995</v>
      </c>
      <c r="V154" s="23">
        <f>SUM(R154:U154)</f>
        <v>20.327999999999999</v>
      </c>
      <c r="W154" s="22">
        <v>0.60299999999999998</v>
      </c>
      <c r="X154" s="22">
        <v>20.042999999999999</v>
      </c>
      <c r="Y154" s="22">
        <v>0.82599999999999996</v>
      </c>
      <c r="Z154" s="22">
        <v>0.81499999999999995</v>
      </c>
      <c r="AA154" s="23">
        <f>SUM(W154:Z154)</f>
        <v>22.287000000000003</v>
      </c>
      <c r="AB154" s="22">
        <v>0.80900000000000005</v>
      </c>
      <c r="AC154" s="22">
        <v>24.736000000000001</v>
      </c>
      <c r="AD154" s="22">
        <v>1.17</v>
      </c>
      <c r="AE154" s="22">
        <v>1.2310000000000001</v>
      </c>
      <c r="AF154" s="23">
        <f>SUM(AB154:AE154)</f>
        <v>27.946000000000005</v>
      </c>
      <c r="AG154" s="22">
        <v>1.232</v>
      </c>
      <c r="AH154" s="22">
        <f ca="1">IF(AH159&gt;AH152,AH152,AH159)</f>
        <v>12.235588108895833</v>
      </c>
      <c r="AI154" s="22">
        <f t="shared" ref="AI154" ca="1" si="245">IF(AI159&gt;AI152,AI152,AI159)</f>
        <v>12.549650683456605</v>
      </c>
      <c r="AJ154" s="22">
        <f ca="1">IF(AJ159&gt;AJ152,AJ152,AJ159)</f>
        <v>0</v>
      </c>
      <c r="AK154" s="23">
        <f ca="1">SUM(AG154:AJ154)</f>
        <v>26.017238792352437</v>
      </c>
      <c r="AL154" s="23">
        <f ca="1">IF(AL159&gt;AL152,AL152,AL159)</f>
        <v>56.101227353365609</v>
      </c>
      <c r="AM154" s="23">
        <f ca="1">IF(AM159&gt;AM152,AM152,AM159)</f>
        <v>64.857159810761289</v>
      </c>
      <c r="AN154" s="23">
        <f t="shared" ref="AN154:AT154" ca="1" si="246">IF(AN159&gt;AN152,AN152,AN159)</f>
        <v>74.415373132232631</v>
      </c>
      <c r="AO154" s="23">
        <f t="shared" ca="1" si="246"/>
        <v>84.644841474545231</v>
      </c>
      <c r="AP154" s="23">
        <f t="shared" ca="1" si="246"/>
        <v>95.601222037124018</v>
      </c>
      <c r="AQ154" s="23">
        <f t="shared" ca="1" si="246"/>
        <v>107.3409488318278</v>
      </c>
      <c r="AR154" s="23">
        <f t="shared" ca="1" si="246"/>
        <v>119.9217985717317</v>
      </c>
      <c r="AS154" s="23">
        <f t="shared" ca="1" si="246"/>
        <v>133.40336638011001</v>
      </c>
      <c r="AT154" s="23">
        <f t="shared" ca="1" si="246"/>
        <v>147.84747649175853</v>
      </c>
      <c r="AU154" s="8" t="s">
        <v>29</v>
      </c>
    </row>
    <row r="155" spans="1:47" ht="16.2" customHeight="1" x14ac:dyDescent="0.3">
      <c r="B155" s="20" t="s">
        <v>127</v>
      </c>
      <c r="C155" s="22">
        <v>0</v>
      </c>
      <c r="D155" s="22">
        <v>0</v>
      </c>
      <c r="E155" s="22">
        <v>0</v>
      </c>
      <c r="F155" s="22">
        <v>0</v>
      </c>
      <c r="G155" s="23">
        <f>SUM(C155:F155)</f>
        <v>0</v>
      </c>
      <c r="H155" s="22">
        <v>0</v>
      </c>
      <c r="I155" s="22">
        <v>0</v>
      </c>
      <c r="J155" s="22">
        <v>0</v>
      </c>
      <c r="K155" s="22">
        <v>0</v>
      </c>
      <c r="L155" s="23">
        <f>SUM(H155:K155)</f>
        <v>0</v>
      </c>
      <c r="M155" s="22">
        <v>0</v>
      </c>
      <c r="N155" s="22">
        <v>0</v>
      </c>
      <c r="O155" s="22">
        <v>0</v>
      </c>
      <c r="P155" s="22">
        <v>12.256</v>
      </c>
      <c r="Q155" s="23">
        <f>SUM(M155:P155)</f>
        <v>12.256</v>
      </c>
      <c r="R155" s="22">
        <v>0.15273963999999998</v>
      </c>
      <c r="S155" s="22">
        <v>0</v>
      </c>
      <c r="T155" s="22">
        <v>0</v>
      </c>
      <c r="U155" s="22">
        <v>0</v>
      </c>
      <c r="V155" s="23">
        <f>SUM(R155:U155)</f>
        <v>0.15273963999999998</v>
      </c>
      <c r="W155" s="22">
        <v>0.38700000000000001</v>
      </c>
      <c r="X155" s="22">
        <v>6.5270910000000004</v>
      </c>
      <c r="Y155" s="22">
        <v>12.193909</v>
      </c>
      <c r="Z155" s="22">
        <v>10.083</v>
      </c>
      <c r="AA155" s="23">
        <f>SUM(W155:Z155)</f>
        <v>29.191000000000003</v>
      </c>
      <c r="AB155" s="22">
        <v>15.321999999999999</v>
      </c>
      <c r="AC155" s="22">
        <v>1.0269999999999999</v>
      </c>
      <c r="AD155" s="22">
        <v>0</v>
      </c>
      <c r="AE155" s="22">
        <v>0</v>
      </c>
      <c r="AF155" s="23">
        <f>SUM(AB155:AE155)</f>
        <v>16.349</v>
      </c>
      <c r="AG155" s="22">
        <v>1.7050000000000001</v>
      </c>
      <c r="AH155" s="167"/>
      <c r="AI155" s="167"/>
      <c r="AJ155" s="167"/>
      <c r="AK155" s="62">
        <f>SUM(AG155:AJ155)</f>
        <v>1.7050000000000001</v>
      </c>
      <c r="AL155" s="171"/>
      <c r="AM155" s="171"/>
      <c r="AN155" s="171"/>
      <c r="AO155" s="171"/>
      <c r="AP155" s="171"/>
      <c r="AQ155" s="171"/>
      <c r="AR155" s="171"/>
      <c r="AS155" s="171"/>
      <c r="AT155" s="171"/>
      <c r="AU155" s="8" t="s">
        <v>29</v>
      </c>
    </row>
    <row r="156" spans="1:47" ht="7.95" customHeight="1" x14ac:dyDescent="0.3">
      <c r="G156" s="7"/>
      <c r="L156" s="7"/>
      <c r="Q156" s="7"/>
      <c r="V156" s="7"/>
      <c r="AA156" s="7"/>
      <c r="AF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8" t="s">
        <v>29</v>
      </c>
    </row>
    <row r="157" spans="1:47" ht="16.2" customHeight="1" x14ac:dyDescent="0.3">
      <c r="B157" s="6" t="s">
        <v>128</v>
      </c>
      <c r="C157" s="21">
        <f t="shared" ref="C157:AG157" si="247">C152/C46</f>
        <v>-1.5883392226148427</v>
      </c>
      <c r="D157" s="21">
        <f t="shared" si="247"/>
        <v>-0.16751269035532965</v>
      </c>
      <c r="E157" s="21">
        <f t="shared" si="247"/>
        <v>0</v>
      </c>
      <c r="F157" s="21">
        <f t="shared" si="247"/>
        <v>5.4542106978878273</v>
      </c>
      <c r="G157" s="14">
        <f>G152/G46</f>
        <v>4.459349839217901</v>
      </c>
      <c r="H157" s="21">
        <f t="shared" si="247"/>
        <v>0</v>
      </c>
      <c r="I157" s="21">
        <f t="shared" si="247"/>
        <v>0.45848436413621702</v>
      </c>
      <c r="J157" s="21">
        <f t="shared" si="247"/>
        <v>0</v>
      </c>
      <c r="K157" s="21">
        <f t="shared" si="247"/>
        <v>0.27174183353317771</v>
      </c>
      <c r="L157" s="14">
        <f>L152/L46</f>
        <v>0.20305728425262662</v>
      </c>
      <c r="M157" s="21">
        <f t="shared" si="247"/>
        <v>0</v>
      </c>
      <c r="N157" s="21">
        <f t="shared" si="247"/>
        <v>0.57215657111760998</v>
      </c>
      <c r="O157" s="21">
        <f t="shared" si="247"/>
        <v>0</v>
      </c>
      <c r="P157" s="21">
        <f t="shared" si="247"/>
        <v>0.35291622359104102</v>
      </c>
      <c r="Q157" s="14">
        <f>Q152/Q46</f>
        <v>0.22949474834466452</v>
      </c>
      <c r="R157" s="21">
        <f t="shared" si="247"/>
        <v>6.0882863948883608E-3</v>
      </c>
      <c r="S157" s="21">
        <f t="shared" si="247"/>
        <v>0.90788265605340013</v>
      </c>
      <c r="T157" s="21">
        <f t="shared" si="247"/>
        <v>2.4371052475306205E-2</v>
      </c>
      <c r="U157" s="21">
        <f t="shared" si="247"/>
        <v>1.9757983861525417E-2</v>
      </c>
      <c r="V157" s="14">
        <f>V152/V46</f>
        <v>0.22614057215588509</v>
      </c>
      <c r="W157" s="21">
        <f t="shared" si="247"/>
        <v>3.7520878748804012E-2</v>
      </c>
      <c r="X157" s="21">
        <f t="shared" si="247"/>
        <v>1.2871438750238129</v>
      </c>
      <c r="Y157" s="21">
        <f t="shared" si="247"/>
        <v>0.53087484826495901</v>
      </c>
      <c r="Z157" s="21">
        <f t="shared" si="247"/>
        <v>0.26843460428192761</v>
      </c>
      <c r="AA157" s="14">
        <f>AA152/AA46</f>
        <v>0.4984033028388965</v>
      </c>
      <c r="AB157" s="21">
        <f t="shared" si="247"/>
        <v>0.46365955434323158</v>
      </c>
      <c r="AC157" s="21">
        <f t="shared" si="247"/>
        <v>0.8809320662567296</v>
      </c>
      <c r="AD157" s="21">
        <f t="shared" si="247"/>
        <v>3.9127517810537644E-2</v>
      </c>
      <c r="AE157" s="21">
        <f t="shared" si="247"/>
        <v>2.8210651755431315E-2</v>
      </c>
      <c r="AF157" s="14">
        <f>AF152/AF46</f>
        <v>0.34060381598504919</v>
      </c>
      <c r="AG157" s="21">
        <f t="shared" si="247"/>
        <v>8.5375425132990387E-2</v>
      </c>
      <c r="AH157" s="63">
        <f ca="1">IF(AH99&gt;0,AH99/AH46,0)</f>
        <v>0.54854349972900995</v>
      </c>
      <c r="AI157" s="63">
        <f t="shared" ref="AI157:AJ157" ca="1" si="248">IF(AI99&gt;0,AI99/AI46,0)</f>
        <v>0.81019036202609229</v>
      </c>
      <c r="AJ157" s="63">
        <f t="shared" ca="1" si="248"/>
        <v>0</v>
      </c>
      <c r="AK157" s="108">
        <f ca="1">AK152/AK46</f>
        <v>0.33524898356913707</v>
      </c>
      <c r="AL157" s="64">
        <f ca="1">IF(AL99&gt;0,AL99/AL46,0)</f>
        <v>0.46984487937882535</v>
      </c>
      <c r="AM157" s="64">
        <f ca="1">IF(AM99&gt;0,AM99/AM46,0)</f>
        <v>0.55894966085192654</v>
      </c>
      <c r="AN157" s="64">
        <f t="shared" ref="AN157:AT157" ca="1" si="249">IF(AN99&gt;0,AN99/AN46,0)</f>
        <v>0.59999966741477972</v>
      </c>
      <c r="AO157" s="64">
        <f t="shared" ca="1" si="249"/>
        <v>0.6345042762188331</v>
      </c>
      <c r="AP157" s="64">
        <f t="shared" ca="1" si="249"/>
        <v>0.66370691748203203</v>
      </c>
      <c r="AQ157" s="64">
        <f t="shared" ca="1" si="249"/>
        <v>0.68873360814588791</v>
      </c>
      <c r="AR157" s="64">
        <f t="shared" ca="1" si="249"/>
        <v>0.71041580477509159</v>
      </c>
      <c r="AS157" s="64">
        <f t="shared" ca="1" si="249"/>
        <v>0.72937941894614877</v>
      </c>
      <c r="AT157" s="64">
        <f t="shared" ca="1" si="249"/>
        <v>0.74610391589341463</v>
      </c>
      <c r="AU157" s="8" t="s">
        <v>29</v>
      </c>
    </row>
    <row r="158" spans="1:47" ht="7.95" customHeight="1" x14ac:dyDescent="0.3">
      <c r="G158" s="7"/>
      <c r="L158" s="7"/>
      <c r="Q158" s="7"/>
      <c r="V158" s="7"/>
      <c r="AA158" s="7"/>
      <c r="AF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8" t="s">
        <v>29</v>
      </c>
    </row>
    <row r="159" spans="1:47" ht="16.2" customHeight="1" x14ac:dyDescent="0.3">
      <c r="B159" s="6" t="s">
        <v>129</v>
      </c>
      <c r="G159" s="7"/>
      <c r="L159" s="7"/>
      <c r="Q159" s="7"/>
      <c r="V159" s="7"/>
      <c r="AA159" s="7"/>
      <c r="AF159" s="7"/>
      <c r="AH159" s="22">
        <f>AH160*AG161/4</f>
        <v>12.235588108895833</v>
      </c>
      <c r="AI159" s="22">
        <f t="shared" ref="AI159:AJ159" ca="1" si="250">AI160*AH161/4</f>
        <v>12.549650683456605</v>
      </c>
      <c r="AJ159" s="22">
        <f t="shared" ca="1" si="250"/>
        <v>12.734377327504379</v>
      </c>
      <c r="AK159" s="23"/>
      <c r="AL159" s="23">
        <f ca="1">AL160*AK161</f>
        <v>56.101227353365609</v>
      </c>
      <c r="AM159" s="23">
        <f ca="1">AM160*AL161</f>
        <v>64.857159810761289</v>
      </c>
      <c r="AN159" s="23">
        <f t="shared" ref="AN159:AT159" ca="1" si="251">AN160*AM161</f>
        <v>74.415373132232631</v>
      </c>
      <c r="AO159" s="23">
        <f t="shared" ca="1" si="251"/>
        <v>84.644841474545231</v>
      </c>
      <c r="AP159" s="23">
        <f t="shared" ca="1" si="251"/>
        <v>95.601222037124018</v>
      </c>
      <c r="AQ159" s="23">
        <f t="shared" ca="1" si="251"/>
        <v>107.3409488318278</v>
      </c>
      <c r="AR159" s="23">
        <f t="shared" ca="1" si="251"/>
        <v>119.9217985717317</v>
      </c>
      <c r="AS159" s="23">
        <f t="shared" ca="1" si="251"/>
        <v>133.40336638011001</v>
      </c>
      <c r="AT159" s="23">
        <f t="shared" ca="1" si="251"/>
        <v>147.84747649175853</v>
      </c>
      <c r="AU159" s="8" t="s">
        <v>29</v>
      </c>
    </row>
    <row r="160" spans="1:47" ht="16.2" customHeight="1" x14ac:dyDescent="0.3">
      <c r="B160" s="20" t="s">
        <v>130</v>
      </c>
      <c r="C160" s="21">
        <v>5.0900000000000001E-2</v>
      </c>
      <c r="D160" s="21">
        <v>4.9400000000000006E-2</v>
      </c>
      <c r="E160" s="21">
        <v>4.9100000000000005E-2</v>
      </c>
      <c r="F160" s="21">
        <v>4.5499999999999999E-2</v>
      </c>
      <c r="G160" s="14">
        <f>AVERAGE(C160:F160)</f>
        <v>4.8725000000000004E-2</v>
      </c>
      <c r="H160" s="21">
        <v>4.3899999999999995E-2</v>
      </c>
      <c r="I160" s="21">
        <v>4.6100000000000002E-2</v>
      </c>
      <c r="J160" s="21">
        <v>4.8799999999999996E-2</v>
      </c>
      <c r="K160" s="21">
        <v>5.3200000000000004E-2</v>
      </c>
      <c r="L160" s="14">
        <f>AVERAGE(H160:K160)</f>
        <v>4.7999999999999994E-2</v>
      </c>
      <c r="M160" s="21">
        <v>6.08E-2</v>
      </c>
      <c r="N160" s="21">
        <v>6.8199999999999997E-2</v>
      </c>
      <c r="O160" s="21">
        <v>7.0099999999999996E-2</v>
      </c>
      <c r="P160" s="21">
        <v>7.2000000000000008E-2</v>
      </c>
      <c r="Q160" s="14">
        <f>AVERAGE(M160:P160)</f>
        <v>6.7775000000000002E-2</v>
      </c>
      <c r="R160" s="21">
        <v>7.3700000000000002E-2</v>
      </c>
      <c r="S160" s="21">
        <v>7.2800000000000004E-2</v>
      </c>
      <c r="T160" s="21">
        <v>7.0000000000000007E-2</v>
      </c>
      <c r="U160" s="21">
        <v>6.5500000000000003E-2</v>
      </c>
      <c r="V160" s="14">
        <f>AVERAGE(R160:U160)</f>
        <v>7.0500000000000007E-2</v>
      </c>
      <c r="W160" s="21">
        <v>6.5299999999999997E-2</v>
      </c>
      <c r="X160" s="21">
        <v>6.6699999999999995E-2</v>
      </c>
      <c r="Y160" s="21">
        <v>6.9099999999999995E-2</v>
      </c>
      <c r="Z160" s="21">
        <v>7.4299999999999991E-2</v>
      </c>
      <c r="AA160" s="14">
        <f>AVERAGE(W160:Z160)</f>
        <v>6.8849999999999995E-2</v>
      </c>
      <c r="AB160" s="21">
        <v>7.9699999999999993E-2</v>
      </c>
      <c r="AC160" s="21">
        <v>8.4408380569445357E-2</v>
      </c>
      <c r="AD160" s="21">
        <v>8.9471252696044237E-2</v>
      </c>
      <c r="AE160" s="21">
        <v>8.9077888613290981E-2</v>
      </c>
      <c r="AF160" s="14">
        <f>AVERAGE(AB160:AE160)</f>
        <v>8.5664380469695142E-2</v>
      </c>
      <c r="AG160" s="21">
        <v>8.2747113433811956E-2</v>
      </c>
      <c r="AH160" s="63">
        <f>AG160</f>
        <v>8.2747113433811956E-2</v>
      </c>
      <c r="AI160" s="63">
        <f t="shared" ref="AI160:AJ160" si="252">AH160</f>
        <v>8.2747113433811956E-2</v>
      </c>
      <c r="AJ160" s="63">
        <f t="shared" si="252"/>
        <v>8.2747113433811956E-2</v>
      </c>
      <c r="AK160" s="108">
        <f>AVERAGE(AG160:AJ160)</f>
        <v>8.2747113433811956E-2</v>
      </c>
      <c r="AL160" s="122">
        <f>AK160</f>
        <v>8.2747113433811956E-2</v>
      </c>
      <c r="AM160" s="122">
        <f>AL160</f>
        <v>8.2747113433811956E-2</v>
      </c>
      <c r="AN160" s="122">
        <f t="shared" ref="AN160:AT160" si="253">AM160</f>
        <v>8.2747113433811956E-2</v>
      </c>
      <c r="AO160" s="122">
        <f t="shared" si="253"/>
        <v>8.2747113433811956E-2</v>
      </c>
      <c r="AP160" s="122">
        <f t="shared" si="253"/>
        <v>8.2747113433811956E-2</v>
      </c>
      <c r="AQ160" s="122">
        <f t="shared" si="253"/>
        <v>8.2747113433811956E-2</v>
      </c>
      <c r="AR160" s="122">
        <f t="shared" si="253"/>
        <v>8.2747113433811956E-2</v>
      </c>
      <c r="AS160" s="122">
        <f t="shared" si="253"/>
        <v>8.2747113433811956E-2</v>
      </c>
      <c r="AT160" s="122">
        <f t="shared" si="253"/>
        <v>8.2747113433811956E-2</v>
      </c>
      <c r="AU160" s="8" t="s">
        <v>29</v>
      </c>
    </row>
    <row r="161" spans="1:47" ht="16.2" customHeight="1" x14ac:dyDescent="0.3">
      <c r="B161" s="20" t="s">
        <v>86</v>
      </c>
      <c r="C161" s="22">
        <f t="shared" ref="C161:AJ161" si="254">C83</f>
        <v>11.823</v>
      </c>
      <c r="D161" s="22">
        <f t="shared" si="254"/>
        <v>20.094000000000001</v>
      </c>
      <c r="E161" s="22">
        <f t="shared" si="254"/>
        <v>27.260999999999999</v>
      </c>
      <c r="F161" s="22">
        <f t="shared" si="254"/>
        <v>201.642</v>
      </c>
      <c r="G161" s="23">
        <f>F161</f>
        <v>201.642</v>
      </c>
      <c r="H161" s="22">
        <f t="shared" si="254"/>
        <v>208.87</v>
      </c>
      <c r="I161" s="22">
        <f t="shared" si="254"/>
        <v>222.24799999999999</v>
      </c>
      <c r="J161" s="22">
        <f t="shared" si="254"/>
        <v>245.57499999999999</v>
      </c>
      <c r="K161" s="22">
        <f t="shared" si="254"/>
        <v>267.80700000000002</v>
      </c>
      <c r="L161" s="23">
        <f>K161</f>
        <v>267.80700000000002</v>
      </c>
      <c r="M161" s="22">
        <f t="shared" si="254"/>
        <v>287.78100000000001</v>
      </c>
      <c r="N161" s="22">
        <f t="shared" si="254"/>
        <v>305.05500000000001</v>
      </c>
      <c r="O161" s="22">
        <f t="shared" si="254"/>
        <v>317.93799999999999</v>
      </c>
      <c r="P161" s="22">
        <f t="shared" si="254"/>
        <v>328.32799999999997</v>
      </c>
      <c r="Q161" s="23">
        <f>P161</f>
        <v>328.32799999999997</v>
      </c>
      <c r="R161" s="22">
        <f t="shared" si="254"/>
        <v>348.23700000000002</v>
      </c>
      <c r="S161" s="22">
        <f t="shared" si="254"/>
        <v>369.58499999999998</v>
      </c>
      <c r="T161" s="22">
        <f t="shared" si="254"/>
        <v>390.90499999999997</v>
      </c>
      <c r="U161" s="22">
        <f t="shared" si="254"/>
        <v>413.63299999999998</v>
      </c>
      <c r="V161" s="23">
        <f>U161</f>
        <v>413.63299999999998</v>
      </c>
      <c r="W161" s="22">
        <f t="shared" si="254"/>
        <v>434.79399999999998</v>
      </c>
      <c r="X161" s="22">
        <f t="shared" si="254"/>
        <v>448.04599999999999</v>
      </c>
      <c r="Y161" s="22">
        <f t="shared" si="254"/>
        <v>453.57299999999998</v>
      </c>
      <c r="Z161" s="22">
        <f t="shared" si="254"/>
        <v>472.80900000000003</v>
      </c>
      <c r="AA161" s="23">
        <f>Z161</f>
        <v>472.80900000000003</v>
      </c>
      <c r="AB161" s="22">
        <f t="shared" si="254"/>
        <v>484.02100000000002</v>
      </c>
      <c r="AC161" s="22">
        <f t="shared" si="254"/>
        <v>512.23099999999999</v>
      </c>
      <c r="AD161" s="22">
        <f t="shared" si="254"/>
        <v>531.61900000000003</v>
      </c>
      <c r="AE161" s="22">
        <f t="shared" si="254"/>
        <v>566.93499999999995</v>
      </c>
      <c r="AF161" s="23">
        <f>AE161</f>
        <v>566.93499999999995</v>
      </c>
      <c r="AG161" s="22">
        <f t="shared" si="254"/>
        <v>591.46900000000005</v>
      </c>
      <c r="AH161" s="22">
        <f t="shared" ca="1" si="254"/>
        <v>606.6508020727448</v>
      </c>
      <c r="AI161" s="22">
        <f t="shared" ca="1" si="254"/>
        <v>615.58049817365031</v>
      </c>
      <c r="AJ161" s="22">
        <f t="shared" ca="1" si="254"/>
        <v>677.9841015027074</v>
      </c>
      <c r="AK161" s="23">
        <f ca="1">AJ161</f>
        <v>677.9841015027074</v>
      </c>
      <c r="AL161" s="23">
        <f ca="1">AL83</f>
        <v>783.79966526130795</v>
      </c>
      <c r="AM161" s="23">
        <f ca="1">AM83</f>
        <v>899.31080425852258</v>
      </c>
      <c r="AN161" s="23">
        <f t="shared" ref="AN161:AT161" ca="1" si="255">AN83</f>
        <v>1022.9340693829911</v>
      </c>
      <c r="AO161" s="23">
        <f t="shared" ca="1" si="255"/>
        <v>1155.3420786526149</v>
      </c>
      <c r="AP161" s="23">
        <f t="shared" ca="1" si="255"/>
        <v>1297.2168378742062</v>
      </c>
      <c r="AQ161" s="23">
        <f t="shared" ca="1" si="255"/>
        <v>1449.2565794171801</v>
      </c>
      <c r="AR161" s="23">
        <f t="shared" ca="1" si="255"/>
        <v>1612.1815111631313</v>
      </c>
      <c r="AS161" s="23">
        <f t="shared" ca="1" si="255"/>
        <v>1786.7387798369459</v>
      </c>
      <c r="AT161" s="23">
        <f t="shared" ca="1" si="255"/>
        <v>1973.7068731688216</v>
      </c>
      <c r="AU161" s="8" t="s">
        <v>29</v>
      </c>
    </row>
    <row r="162" spans="1:47" ht="7.95" customHeight="1" x14ac:dyDescent="0.3">
      <c r="G162" s="7"/>
      <c r="L162" s="7"/>
      <c r="Q162" s="7"/>
      <c r="V162" s="7"/>
      <c r="AA162" s="7"/>
      <c r="AF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8" t="s">
        <v>29</v>
      </c>
    </row>
    <row r="163" spans="1:47" ht="16.2" customHeight="1" x14ac:dyDescent="0.3">
      <c r="A163" s="9" t="s">
        <v>30</v>
      </c>
      <c r="B163" s="10" t="s">
        <v>131</v>
      </c>
      <c r="C163" s="11"/>
      <c r="D163" s="11"/>
      <c r="E163" s="11"/>
      <c r="F163" s="11"/>
      <c r="G163" s="12"/>
      <c r="H163" s="11"/>
      <c r="I163" s="11"/>
      <c r="J163" s="11"/>
      <c r="K163" s="11"/>
      <c r="L163" s="12"/>
      <c r="M163" s="11"/>
      <c r="N163" s="11"/>
      <c r="O163" s="11"/>
      <c r="P163" s="11"/>
      <c r="Q163" s="12"/>
      <c r="R163" s="11"/>
      <c r="S163" s="11"/>
      <c r="T163" s="11"/>
      <c r="U163" s="11"/>
      <c r="V163" s="12"/>
      <c r="W163" s="11"/>
      <c r="X163" s="11"/>
      <c r="Y163" s="11"/>
      <c r="Z163" s="11"/>
      <c r="AA163" s="12"/>
      <c r="AB163" s="11"/>
      <c r="AC163" s="11"/>
      <c r="AD163" s="11"/>
      <c r="AE163" s="11"/>
      <c r="AF163" s="12"/>
      <c r="AG163" s="11"/>
      <c r="AH163" s="11"/>
      <c r="AI163" s="11"/>
      <c r="AJ163" s="11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8" t="s">
        <v>29</v>
      </c>
    </row>
    <row r="164" spans="1:47" ht="7.95" customHeight="1" x14ac:dyDescent="0.3">
      <c r="G164" s="7"/>
      <c r="L164" s="7"/>
      <c r="Q164" s="7"/>
      <c r="V164" s="7"/>
      <c r="AA164" s="7"/>
      <c r="AF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8" t="s">
        <v>29</v>
      </c>
    </row>
    <row r="165" spans="1:47" ht="16.2" customHeight="1" x14ac:dyDescent="0.3">
      <c r="A165" s="2" t="s">
        <v>30</v>
      </c>
      <c r="B165" s="58" t="s">
        <v>132</v>
      </c>
      <c r="C165" s="59"/>
      <c r="D165" s="59"/>
      <c r="E165" s="59"/>
      <c r="F165" s="59"/>
      <c r="G165" s="60"/>
      <c r="H165" s="59"/>
      <c r="I165" s="59"/>
      <c r="J165" s="59"/>
      <c r="K165" s="59"/>
      <c r="L165" s="60"/>
      <c r="M165" s="59"/>
      <c r="N165" s="59"/>
      <c r="O165" s="59"/>
      <c r="P165" s="59"/>
      <c r="Q165" s="60"/>
      <c r="R165" s="59"/>
      <c r="S165" s="59"/>
      <c r="T165" s="59"/>
      <c r="U165" s="59"/>
      <c r="V165" s="60"/>
      <c r="W165" s="59"/>
      <c r="X165" s="59"/>
      <c r="Y165" s="59"/>
      <c r="Z165" s="59"/>
      <c r="AA165" s="60"/>
      <c r="AB165" s="59"/>
      <c r="AC165" s="59"/>
      <c r="AD165" s="59"/>
      <c r="AE165" s="59"/>
      <c r="AF165" s="60"/>
      <c r="AG165" s="59"/>
      <c r="AH165" s="59"/>
      <c r="AI165" s="59"/>
      <c r="AJ165" s="59"/>
      <c r="AK165" s="60"/>
      <c r="AL165" s="60"/>
      <c r="AM165" s="60"/>
      <c r="AN165" s="60"/>
      <c r="AO165" s="60"/>
      <c r="AP165" s="60"/>
      <c r="AQ165" s="60"/>
      <c r="AR165" s="60"/>
      <c r="AS165" s="60"/>
      <c r="AT165" s="60"/>
      <c r="AU165" s="8" t="s">
        <v>29</v>
      </c>
    </row>
    <row r="166" spans="1:47" ht="7.95" customHeight="1" x14ac:dyDescent="0.3">
      <c r="G166" s="7"/>
      <c r="L166" s="7"/>
      <c r="Q166" s="7"/>
      <c r="V166" s="7"/>
      <c r="AA166" s="7"/>
      <c r="AF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8" t="s">
        <v>29</v>
      </c>
    </row>
    <row r="167" spans="1:47" ht="16.2" customHeight="1" x14ac:dyDescent="0.3">
      <c r="B167" s="5" t="s">
        <v>133</v>
      </c>
      <c r="C167" s="18">
        <f t="shared" ref="C167:AJ167" si="256">C170+C174+C178+C182+C186</f>
        <v>79.399000000000001</v>
      </c>
      <c r="D167" s="18">
        <f t="shared" si="256"/>
        <v>32.288999999999994</v>
      </c>
      <c r="E167" s="18">
        <f t="shared" si="256"/>
        <v>91.495999999999995</v>
      </c>
      <c r="F167" s="18">
        <f t="shared" si="256"/>
        <v>165.739</v>
      </c>
      <c r="G167" s="19">
        <f>SUM(C167:F167)</f>
        <v>368.923</v>
      </c>
      <c r="H167" s="18">
        <f t="shared" si="256"/>
        <v>90.209000000000003</v>
      </c>
      <c r="I167" s="18">
        <f t="shared" si="256"/>
        <v>129.46300000000002</v>
      </c>
      <c r="J167" s="18">
        <f t="shared" si="256"/>
        <v>169.23299999999998</v>
      </c>
      <c r="K167" s="18">
        <f t="shared" si="256"/>
        <v>208.34899999999999</v>
      </c>
      <c r="L167" s="19">
        <f>SUM(H167:K167)</f>
        <v>597.25399999999991</v>
      </c>
      <c r="M167" s="18">
        <f t="shared" si="256"/>
        <v>154.327</v>
      </c>
      <c r="N167" s="18">
        <f t="shared" si="256"/>
        <v>177.559</v>
      </c>
      <c r="O167" s="18">
        <f t="shared" si="256"/>
        <v>186.31400000000002</v>
      </c>
      <c r="P167" s="18">
        <f t="shared" si="256"/>
        <v>257.899</v>
      </c>
      <c r="Q167" s="19">
        <f>SUM(M167:P167)</f>
        <v>776.09900000000005</v>
      </c>
      <c r="R167" s="18">
        <f t="shared" si="256"/>
        <v>195.89799999999997</v>
      </c>
      <c r="S167" s="18">
        <f t="shared" si="256"/>
        <v>208.92</v>
      </c>
      <c r="T167" s="18">
        <f t="shared" si="256"/>
        <v>221.74599999999998</v>
      </c>
      <c r="U167" s="18">
        <f t="shared" si="256"/>
        <v>303.12100000000004</v>
      </c>
      <c r="V167" s="19">
        <f>SUM(R167:U167)</f>
        <v>929.68499999999995</v>
      </c>
      <c r="W167" s="18">
        <f t="shared" si="256"/>
        <v>223.42599999999999</v>
      </c>
      <c r="X167" s="18">
        <f t="shared" si="256"/>
        <v>258.19600000000003</v>
      </c>
      <c r="Y167" s="18">
        <f t="shared" si="256"/>
        <v>269.47600000000006</v>
      </c>
      <c r="Z167" s="18">
        <f t="shared" si="256"/>
        <v>368.17199999999997</v>
      </c>
      <c r="AA167" s="19">
        <f>SUM(W167:Z167)</f>
        <v>1119.27</v>
      </c>
      <c r="AB167" s="18">
        <f t="shared" si="256"/>
        <v>288.20800000000003</v>
      </c>
      <c r="AC167" s="18">
        <f t="shared" si="256"/>
        <v>324.72999999999996</v>
      </c>
      <c r="AD167" s="18">
        <f t="shared" si="256"/>
        <v>360.07699999999994</v>
      </c>
      <c r="AE167" s="18">
        <f t="shared" si="256"/>
        <v>437.09899999999993</v>
      </c>
      <c r="AF167" s="19">
        <f>SUM(AB167:AE167)</f>
        <v>1410.1139999999998</v>
      </c>
      <c r="AG167" s="18">
        <f t="shared" si="256"/>
        <v>344.94400000000002</v>
      </c>
      <c r="AH167" s="18">
        <f t="shared" si="256"/>
        <v>357.84012080434059</v>
      </c>
      <c r="AI167" s="18">
        <f t="shared" si="256"/>
        <v>377.82456547771022</v>
      </c>
      <c r="AJ167" s="18">
        <f t="shared" si="256"/>
        <v>504.64757532924824</v>
      </c>
      <c r="AK167" s="110">
        <f>SUM(AG167:AJ167)</f>
        <v>1585.2562616112989</v>
      </c>
      <c r="AL167" s="19">
        <f>AL170+AL174+AL178+AL182+AL186</f>
        <v>1808.8871216670736</v>
      </c>
      <c r="AM167" s="19">
        <f>AM170+AM174+AM178+AM182+AM186</f>
        <v>2057.3727011562592</v>
      </c>
      <c r="AN167" s="19">
        <f t="shared" ref="AN167:AT167" si="257">AN170+AN174+AN178+AN182+AN186</f>
        <v>2324.9969724866637</v>
      </c>
      <c r="AO167" s="19">
        <f t="shared" si="257"/>
        <v>2612.9835767658542</v>
      </c>
      <c r="AP167" s="19">
        <f t="shared" si="257"/>
        <v>2922.6273440459627</v>
      </c>
      <c r="AQ167" s="19">
        <f t="shared" si="257"/>
        <v>3255.298212439302</v>
      </c>
      <c r="AR167" s="19">
        <f t="shared" si="257"/>
        <v>3612.445356129685</v>
      </c>
      <c r="AS167" s="19">
        <f t="shared" si="257"/>
        <v>3995.6015332504289</v>
      </c>
      <c r="AT167" s="19">
        <f t="shared" si="257"/>
        <v>4406.3876651774472</v>
      </c>
      <c r="AU167" s="8" t="s">
        <v>29</v>
      </c>
    </row>
    <row r="168" spans="1:47" ht="16.2" customHeight="1" x14ac:dyDescent="0.3">
      <c r="B168" s="20" t="s">
        <v>35</v>
      </c>
      <c r="C168" s="21"/>
      <c r="D168" s="21"/>
      <c r="E168" s="21"/>
      <c r="F168" s="21"/>
      <c r="G168" s="14"/>
      <c r="H168" s="21">
        <f t="shared" ref="H168:K168" si="258">H167/C167-1</f>
        <v>0.13614781042582402</v>
      </c>
      <c r="I168" s="21">
        <f t="shared" si="258"/>
        <v>3.0095078819412198</v>
      </c>
      <c r="J168" s="21">
        <f t="shared" si="258"/>
        <v>0.84962184139197316</v>
      </c>
      <c r="K168" s="21">
        <f t="shared" si="258"/>
        <v>0.25709096832972311</v>
      </c>
      <c r="L168" s="14">
        <f>L167/SUM(C167:F167)-1</f>
        <v>0.61891234756304137</v>
      </c>
      <c r="M168" s="21">
        <f t="shared" ref="M168:P168" si="259">M167/H167-1</f>
        <v>0.71077165249587071</v>
      </c>
      <c r="N168" s="21">
        <f t="shared" si="259"/>
        <v>0.37150382734835419</v>
      </c>
      <c r="O168" s="21">
        <f t="shared" si="259"/>
        <v>0.10093185135286875</v>
      </c>
      <c r="P168" s="21">
        <f t="shared" si="259"/>
        <v>0.23782211577689361</v>
      </c>
      <c r="Q168" s="14">
        <f>Q167/SUM(H167:K167)-1</f>
        <v>0.29944546206471645</v>
      </c>
      <c r="R168" s="21">
        <f t="shared" ref="R168:U168" si="260">R167/M167-1</f>
        <v>0.26936958536095412</v>
      </c>
      <c r="S168" s="21">
        <f t="shared" si="260"/>
        <v>0.17662298165680124</v>
      </c>
      <c r="T168" s="21">
        <f t="shared" si="260"/>
        <v>0.19017357793831891</v>
      </c>
      <c r="U168" s="21">
        <f t="shared" si="260"/>
        <v>0.17534771363983581</v>
      </c>
      <c r="V168" s="14">
        <f>V167/SUM(M167:P167)-1</f>
        <v>0.1978948561974696</v>
      </c>
      <c r="W168" s="21">
        <f t="shared" ref="W168:Z168" si="261">W167/R167-1</f>
        <v>0.14052210844419055</v>
      </c>
      <c r="X168" s="21">
        <f t="shared" si="261"/>
        <v>0.2358606165039252</v>
      </c>
      <c r="Y168" s="21">
        <f t="shared" si="261"/>
        <v>0.21524627276253039</v>
      </c>
      <c r="Z168" s="21">
        <f t="shared" si="261"/>
        <v>0.21460406900214735</v>
      </c>
      <c r="AA168" s="14">
        <f>AA167/SUM(R167:U167)-1</f>
        <v>0.20392390971135388</v>
      </c>
      <c r="AB168" s="21">
        <f t="shared" ref="AB168:AE168" si="262">AB167/W167-1</f>
        <v>0.28994834978919215</v>
      </c>
      <c r="AC168" s="21">
        <f t="shared" si="262"/>
        <v>0.25768795798540611</v>
      </c>
      <c r="AD168" s="21">
        <f t="shared" si="262"/>
        <v>0.33621175911769452</v>
      </c>
      <c r="AE168" s="21">
        <f t="shared" si="262"/>
        <v>0.18721412817922056</v>
      </c>
      <c r="AF168" s="14">
        <f>AF167/SUM(W167:Z167)-1</f>
        <v>0.25985151035943055</v>
      </c>
      <c r="AG168" s="21">
        <f>AG167/AB167-1</f>
        <v>0.19685782490423587</v>
      </c>
      <c r="AH168" s="21">
        <f>AH167/AC167-1</f>
        <v>0.10196200167628677</v>
      </c>
      <c r="AI168" s="21">
        <f>AI167/AD167-1</f>
        <v>4.9288250784444099E-2</v>
      </c>
      <c r="AJ168" s="21">
        <f>AJ167/AE167-1</f>
        <v>0.15453838908176021</v>
      </c>
      <c r="AK168" s="111">
        <f>AK167/SUM(AB167:AE167)-1</f>
        <v>0.12420432788504976</v>
      </c>
      <c r="AL168" s="14">
        <f>AL167/AK167-1</f>
        <v>0.14106921730652555</v>
      </c>
      <c r="AM168" s="14">
        <f>AM167/AL167-1</f>
        <v>0.13736931205534852</v>
      </c>
      <c r="AN168" s="14">
        <f t="shared" ref="AN168:AT168" si="263">AN167/AM167-1</f>
        <v>0.13008059802679295</v>
      </c>
      <c r="AO168" s="14">
        <f t="shared" si="263"/>
        <v>0.12386536743365251</v>
      </c>
      <c r="AP168" s="14">
        <f t="shared" si="263"/>
        <v>0.11850199520326155</v>
      </c>
      <c r="AQ168" s="14">
        <f t="shared" si="263"/>
        <v>0.11382596179121607</v>
      </c>
      <c r="AR168" s="14">
        <f t="shared" si="263"/>
        <v>0.10971257328303596</v>
      </c>
      <c r="AS168" s="14">
        <f t="shared" si="263"/>
        <v>0.1060655980499734</v>
      </c>
      <c r="AT168" s="14">
        <f t="shared" si="263"/>
        <v>0.10280958411607255</v>
      </c>
      <c r="AU168" s="8" t="s">
        <v>29</v>
      </c>
    </row>
    <row r="169" spans="1:47" ht="7.95" customHeight="1" x14ac:dyDescent="0.3">
      <c r="G169" s="7"/>
      <c r="L169" s="7"/>
      <c r="Q169" s="7"/>
      <c r="V169" s="7"/>
      <c r="AA169" s="7"/>
      <c r="AF169" s="7"/>
      <c r="AK169" s="103"/>
      <c r="AL169" s="7"/>
      <c r="AM169" s="7"/>
      <c r="AN169" s="7"/>
      <c r="AO169" s="7"/>
      <c r="AP169" s="7"/>
      <c r="AQ169" s="7"/>
      <c r="AR169" s="7"/>
      <c r="AS169" s="7"/>
      <c r="AT169" s="7"/>
      <c r="AU169" s="8" t="s">
        <v>29</v>
      </c>
    </row>
    <row r="170" spans="1:47" ht="16.2" customHeight="1" x14ac:dyDescent="0.3">
      <c r="B170" s="20" t="s">
        <v>134</v>
      </c>
      <c r="C170" s="22">
        <v>49.36</v>
      </c>
      <c r="D170" s="22">
        <v>23.274999999999999</v>
      </c>
      <c r="E170" s="22">
        <v>59.44</v>
      </c>
      <c r="F170" s="22">
        <v>100.441</v>
      </c>
      <c r="G170" s="23">
        <f>SUM(C170:F170)</f>
        <v>232.51599999999999</v>
      </c>
      <c r="H170" s="22">
        <v>60.286999999999999</v>
      </c>
      <c r="I170" s="22">
        <v>77.209000000000003</v>
      </c>
      <c r="J170" s="22">
        <v>93.602999999999994</v>
      </c>
      <c r="K170" s="22">
        <v>125.577</v>
      </c>
      <c r="L170" s="23">
        <f>SUM(H170:K170)</f>
        <v>356.67599999999999</v>
      </c>
      <c r="M170" s="22">
        <v>94.265000000000001</v>
      </c>
      <c r="N170" s="22">
        <v>91.81</v>
      </c>
      <c r="O170" s="22">
        <v>102.294</v>
      </c>
      <c r="P170" s="22">
        <v>153.16800000000001</v>
      </c>
      <c r="Q170" s="23">
        <f>SUM(M170:P170)</f>
        <v>441.53699999999998</v>
      </c>
      <c r="R170" s="22">
        <v>111.026</v>
      </c>
      <c r="S170" s="22">
        <v>110.886</v>
      </c>
      <c r="T170" s="22">
        <v>123.13500000000001</v>
      </c>
      <c r="U170" s="22">
        <v>175.22200000000001</v>
      </c>
      <c r="V170" s="23">
        <f>SUM(R170:U170)</f>
        <v>520.26900000000001</v>
      </c>
      <c r="W170" s="22">
        <v>128.255</v>
      </c>
      <c r="X170" s="22">
        <v>137.846</v>
      </c>
      <c r="Y170" s="22">
        <v>145.84800000000001</v>
      </c>
      <c r="Z170" s="22">
        <v>205.881</v>
      </c>
      <c r="AA170" s="23">
        <f>SUM(W170:Z170)</f>
        <v>617.83000000000004</v>
      </c>
      <c r="AB170" s="22">
        <f>168.705</f>
        <v>168.70500000000001</v>
      </c>
      <c r="AC170" s="22">
        <v>171.36199999999999</v>
      </c>
      <c r="AD170" s="22">
        <v>180.26599999999999</v>
      </c>
      <c r="AE170" s="22">
        <v>248.38800000000001</v>
      </c>
      <c r="AF170" s="23">
        <f>SUM(AB170:AE170)</f>
        <v>768.721</v>
      </c>
      <c r="AG170" s="22">
        <v>198.26400000000001</v>
      </c>
      <c r="AH170" s="22">
        <f>AH250</f>
        <v>191.32452484522295</v>
      </c>
      <c r="AI170" s="22">
        <f t="shared" ref="AI170:AJ170" si="264">AI250</f>
        <v>203.66550819985943</v>
      </c>
      <c r="AJ170" s="22">
        <f t="shared" si="264"/>
        <v>286.11777020489563</v>
      </c>
      <c r="AK170" s="105">
        <f>SUM(AG170:AJ170)</f>
        <v>879.37180324997803</v>
      </c>
      <c r="AL170" s="23">
        <f>AL250</f>
        <v>1011.8921281240447</v>
      </c>
      <c r="AM170" s="23">
        <f>AM250</f>
        <v>1162.4856961869937</v>
      </c>
      <c r="AN170" s="23">
        <f t="shared" ref="AN170:AT170" si="265">AN250</f>
        <v>1325.5600948739307</v>
      </c>
      <c r="AO170" s="23">
        <f t="shared" si="265"/>
        <v>1501.9549358292315</v>
      </c>
      <c r="AP170" s="23">
        <f t="shared" si="265"/>
        <v>1692.5603140959593</v>
      </c>
      <c r="AQ170" s="23">
        <f t="shared" si="265"/>
        <v>1898.3196347609712</v>
      </c>
      <c r="AR170" s="23">
        <f t="shared" si="265"/>
        <v>2120.2325902122743</v>
      </c>
      <c r="AS170" s="23">
        <f t="shared" si="265"/>
        <v>2359.3582957451335</v>
      </c>
      <c r="AT170" s="23">
        <f t="shared" si="265"/>
        <v>2616.8185916397947</v>
      </c>
      <c r="AU170" s="8" t="s">
        <v>29</v>
      </c>
    </row>
    <row r="171" spans="1:47" ht="16.2" customHeight="1" x14ac:dyDescent="0.3">
      <c r="B171" s="24" t="s">
        <v>35</v>
      </c>
      <c r="C171" s="21"/>
      <c r="D171" s="21"/>
      <c r="E171" s="21"/>
      <c r="F171" s="21"/>
      <c r="G171" s="14"/>
      <c r="H171" s="21">
        <f t="shared" ref="H171:K171" si="266">H170/C170-1</f>
        <v>0.22137358184764988</v>
      </c>
      <c r="I171" s="21">
        <f t="shared" si="266"/>
        <v>2.3172502685284644</v>
      </c>
      <c r="J171" s="21">
        <f t="shared" si="266"/>
        <v>0.57474764468371453</v>
      </c>
      <c r="K171" s="21">
        <f t="shared" si="266"/>
        <v>0.25025636941089791</v>
      </c>
      <c r="L171" s="14">
        <f>L170/SUM(C170:F170)-1</f>
        <v>0.53398475803815648</v>
      </c>
      <c r="M171" s="21">
        <f t="shared" ref="M171:P171" si="267">M170/H170-1</f>
        <v>0.56360409375155518</v>
      </c>
      <c r="N171" s="21">
        <f t="shared" si="267"/>
        <v>0.18911007784066625</v>
      </c>
      <c r="O171" s="21">
        <f t="shared" si="267"/>
        <v>9.2849588154225948E-2</v>
      </c>
      <c r="P171" s="21">
        <f t="shared" si="267"/>
        <v>0.21971380109414951</v>
      </c>
      <c r="Q171" s="14">
        <f>Q170/SUM(H170:K170)-1</f>
        <v>0.23792181139185131</v>
      </c>
      <c r="R171" s="21">
        <f>R170/M170-1</f>
        <v>0.17780724553121519</v>
      </c>
      <c r="S171" s="21">
        <f>S170/N170-1</f>
        <v>0.20777693061757962</v>
      </c>
      <c r="T171" s="21">
        <f>T170/O170-1</f>
        <v>0.20373628951844691</v>
      </c>
      <c r="U171" s="21">
        <f>U170/P170-1</f>
        <v>0.14398568891674501</v>
      </c>
      <c r="V171" s="14">
        <f>V170/SUM(M170:P170)-1</f>
        <v>0.17831348222232801</v>
      </c>
      <c r="W171" s="21">
        <f>W170/R170-1</f>
        <v>0.15517986777871839</v>
      </c>
      <c r="X171" s="21">
        <f>X170/S170-1</f>
        <v>0.2431325866204932</v>
      </c>
      <c r="Y171" s="21">
        <f>Y170/T170-1</f>
        <v>0.18445608478499209</v>
      </c>
      <c r="Z171" s="21">
        <f>Z170/U170-1</f>
        <v>0.1749723208272933</v>
      </c>
      <c r="AA171" s="14">
        <f>AA170/SUM(R170:U170)-1</f>
        <v>0.1875203019976206</v>
      </c>
      <c r="AB171" s="21">
        <f>AB170/W170-1</f>
        <v>0.31538731433472389</v>
      </c>
      <c r="AC171" s="21">
        <f>AC170/X170-1</f>
        <v>0.24314089636260738</v>
      </c>
      <c r="AD171" s="21">
        <f>AD170/Y170-1</f>
        <v>0.23598540946739055</v>
      </c>
      <c r="AE171" s="21">
        <f>AE170/Z170-1</f>
        <v>0.20646392819152815</v>
      </c>
      <c r="AF171" s="14">
        <f>AF170/SUM(W170:Z170)-1</f>
        <v>0.24422737646278092</v>
      </c>
      <c r="AG171" s="21">
        <f>AG170/AB170-1</f>
        <v>0.17521116742242371</v>
      </c>
      <c r="AH171" s="21">
        <f>AH170/AC170-1</f>
        <v>0.11649329982856726</v>
      </c>
      <c r="AI171" s="21">
        <f>AI170/AD170-1</f>
        <v>0.12980544417615869</v>
      </c>
      <c r="AJ171" s="21">
        <f>AJ170/AE170-1</f>
        <v>0.15189852249261482</v>
      </c>
      <c r="AK171" s="111">
        <f>AK170/SUM(AB170:AE170)-1</f>
        <v>0.14394143421342465</v>
      </c>
      <c r="AL171" s="14">
        <f>AL170/AK170-1</f>
        <v>0.15069885614287237</v>
      </c>
      <c r="AM171" s="14">
        <f>AM170/AL170-1</f>
        <v>0.14882373711329855</v>
      </c>
      <c r="AN171" s="14">
        <f t="shared" ref="AN171:AT171" si="268">AN170/AM170-1</f>
        <v>0.14028077869846345</v>
      </c>
      <c r="AO171" s="14">
        <f t="shared" si="268"/>
        <v>0.13307193060309896</v>
      </c>
      <c r="AP171" s="14">
        <f t="shared" si="268"/>
        <v>0.12690485827492171</v>
      </c>
      <c r="AQ171" s="14">
        <f t="shared" si="268"/>
        <v>0.12156690603661779</v>
      </c>
      <c r="AR171" s="14">
        <f t="shared" si="268"/>
        <v>0.11689967874100682</v>
      </c>
      <c r="AS171" s="14">
        <f t="shared" si="268"/>
        <v>0.1127827704548765</v>
      </c>
      <c r="AT171" s="14">
        <f t="shared" si="268"/>
        <v>0.10912301720301021</v>
      </c>
      <c r="AU171" s="8" t="s">
        <v>29</v>
      </c>
    </row>
    <row r="172" spans="1:47" ht="16.2" customHeight="1" x14ac:dyDescent="0.3">
      <c r="B172" s="24" t="s">
        <v>37</v>
      </c>
      <c r="C172" s="21">
        <f t="shared" ref="C172:AJ172" si="269">C170/C$167</f>
        <v>0.62167029811458585</v>
      </c>
      <c r="D172" s="21">
        <f t="shared" si="269"/>
        <v>0.72083372046207694</v>
      </c>
      <c r="E172" s="21">
        <f t="shared" si="269"/>
        <v>0.6496458861589578</v>
      </c>
      <c r="F172" s="21">
        <f t="shared" si="269"/>
        <v>0.60601910232353273</v>
      </c>
      <c r="G172" s="14">
        <f>G170/G167</f>
        <v>0.63025617811846912</v>
      </c>
      <c r="H172" s="21">
        <f t="shared" si="269"/>
        <v>0.66830360607034767</v>
      </c>
      <c r="I172" s="21">
        <f t="shared" si="269"/>
        <v>0.59637888817654461</v>
      </c>
      <c r="J172" s="21">
        <f t="shared" si="269"/>
        <v>0.5531013454822642</v>
      </c>
      <c r="K172" s="21">
        <f t="shared" si="269"/>
        <v>0.60272427513450988</v>
      </c>
      <c r="L172" s="14">
        <f>L170/L167</f>
        <v>0.59719315400148021</v>
      </c>
      <c r="M172" s="21">
        <f t="shared" si="269"/>
        <v>0.61081340270983042</v>
      </c>
      <c r="N172" s="21">
        <f t="shared" si="269"/>
        <v>0.51706756627374562</v>
      </c>
      <c r="O172" s="21">
        <f t="shared" si="269"/>
        <v>0.54904086649419792</v>
      </c>
      <c r="P172" s="21">
        <f t="shared" si="269"/>
        <v>0.59390691704892229</v>
      </c>
      <c r="Q172" s="14">
        <f>Q170/Q167</f>
        <v>0.56891839829712443</v>
      </c>
      <c r="R172" s="21">
        <f t="shared" si="269"/>
        <v>0.56675412714780149</v>
      </c>
      <c r="S172" s="21">
        <f t="shared" si="269"/>
        <v>0.53075818495117755</v>
      </c>
      <c r="T172" s="21">
        <f t="shared" si="269"/>
        <v>0.5552975025479604</v>
      </c>
      <c r="U172" s="21">
        <f t="shared" si="269"/>
        <v>0.57805958676568103</v>
      </c>
      <c r="V172" s="14">
        <f>V170/V167</f>
        <v>0.55961858048693913</v>
      </c>
      <c r="W172" s="21">
        <f t="shared" si="269"/>
        <v>0.5740379364979904</v>
      </c>
      <c r="X172" s="21">
        <f t="shared" si="269"/>
        <v>0.5338812375094889</v>
      </c>
      <c r="Y172" s="21">
        <f t="shared" si="269"/>
        <v>0.54122816132048857</v>
      </c>
      <c r="Z172" s="21">
        <f t="shared" si="269"/>
        <v>0.5591978749062938</v>
      </c>
      <c r="AA172" s="14">
        <f>AA170/AA167</f>
        <v>0.55199371018610344</v>
      </c>
      <c r="AB172" s="21">
        <f t="shared" si="269"/>
        <v>0.58535849108976845</v>
      </c>
      <c r="AC172" s="21">
        <f t="shared" si="269"/>
        <v>0.52770609429372095</v>
      </c>
      <c r="AD172" s="21">
        <f t="shared" si="269"/>
        <v>0.50063180930745377</v>
      </c>
      <c r="AE172" s="21">
        <f t="shared" si="269"/>
        <v>0.56826485533025706</v>
      </c>
      <c r="AF172" s="14">
        <f>AF170/AF167</f>
        <v>0.54514812277588909</v>
      </c>
      <c r="AG172" s="21">
        <f t="shared" si="269"/>
        <v>0.57477155712231554</v>
      </c>
      <c r="AH172" s="21">
        <f t="shared" si="269"/>
        <v>0.53466482298063822</v>
      </c>
      <c r="AI172" s="21">
        <f t="shared" si="269"/>
        <v>0.53904781956766301</v>
      </c>
      <c r="AJ172" s="21">
        <f t="shared" si="269"/>
        <v>0.56696551057086375</v>
      </c>
      <c r="AK172" s="111">
        <f>AK170/AK167</f>
        <v>0.5547190221195909</v>
      </c>
      <c r="AL172" s="14">
        <f>AL170/AL167</f>
        <v>0.55940037164479506</v>
      </c>
      <c r="AM172" s="14">
        <f>AM170/AM167</f>
        <v>0.56503408231948826</v>
      </c>
      <c r="AN172" s="14">
        <f t="shared" ref="AN172:AT172" si="270">AN170/AN167</f>
        <v>0.57013411654304169</v>
      </c>
      <c r="AO172" s="14">
        <f t="shared" si="270"/>
        <v>0.57480458322980865</v>
      </c>
      <c r="AP172" s="14">
        <f t="shared" si="270"/>
        <v>0.57912286270231417</v>
      </c>
      <c r="AQ172" s="14">
        <f t="shared" si="270"/>
        <v>0.58314769058853688</v>
      </c>
      <c r="AR172" s="14">
        <f t="shared" si="270"/>
        <v>0.58692447392030778</v>
      </c>
      <c r="AS172" s="14">
        <f t="shared" si="270"/>
        <v>0.59048888536835442</v>
      </c>
      <c r="AT172" s="14">
        <f t="shared" si="270"/>
        <v>0.59386935296679444</v>
      </c>
      <c r="AU172" s="8" t="s">
        <v>29</v>
      </c>
    </row>
    <row r="173" spans="1:47" ht="7.95" customHeight="1" x14ac:dyDescent="0.3">
      <c r="G173" s="7"/>
      <c r="L173" s="7"/>
      <c r="Q173" s="7"/>
      <c r="V173" s="7"/>
      <c r="AA173" s="7"/>
      <c r="AF173" s="7"/>
      <c r="AG173" s="22"/>
      <c r="AK173" s="103"/>
      <c r="AL173" s="7"/>
      <c r="AM173" s="7"/>
      <c r="AN173" s="7"/>
      <c r="AO173" s="7"/>
      <c r="AP173" s="7"/>
      <c r="AQ173" s="7"/>
      <c r="AR173" s="7"/>
      <c r="AS173" s="7"/>
      <c r="AT173" s="7"/>
      <c r="AU173" s="8" t="s">
        <v>29</v>
      </c>
    </row>
    <row r="174" spans="1:47" ht="16.2" customHeight="1" x14ac:dyDescent="0.3">
      <c r="B174" s="20" t="s">
        <v>135</v>
      </c>
      <c r="C174" s="22">
        <v>17.841999999999999</v>
      </c>
      <c r="D174" s="22">
        <v>5.9969999999999999</v>
      </c>
      <c r="E174" s="22">
        <v>21.437999999999999</v>
      </c>
      <c r="F174" s="22">
        <v>44.847000000000001</v>
      </c>
      <c r="G174" s="23">
        <f>SUM(C174:F174)</f>
        <v>90.123999999999995</v>
      </c>
      <c r="H174" s="22">
        <v>18.109000000000002</v>
      </c>
      <c r="I174" s="22">
        <v>33.762999999999998</v>
      </c>
      <c r="J174" s="22">
        <v>52.893000000000001</v>
      </c>
      <c r="K174" s="22">
        <v>53.655999999999999</v>
      </c>
      <c r="L174" s="23">
        <f>SUM(H174:K174)</f>
        <v>158.42099999999999</v>
      </c>
      <c r="M174" s="22">
        <v>31.997</v>
      </c>
      <c r="N174" s="22">
        <v>53.874000000000002</v>
      </c>
      <c r="O174" s="22">
        <v>47.136000000000003</v>
      </c>
      <c r="P174" s="22">
        <v>64.245999999999995</v>
      </c>
      <c r="Q174" s="23">
        <f>SUM(M174:P174)</f>
        <v>197.25299999999999</v>
      </c>
      <c r="R174" s="22">
        <v>48.720999999999997</v>
      </c>
      <c r="S174" s="22">
        <v>57.722000000000001</v>
      </c>
      <c r="T174" s="22">
        <v>55.399000000000001</v>
      </c>
      <c r="U174" s="22">
        <v>75.695999999999998</v>
      </c>
      <c r="V174" s="23">
        <f>SUM(R174:U174)</f>
        <v>237.53799999999998</v>
      </c>
      <c r="W174" s="22">
        <v>52.947000000000003</v>
      </c>
      <c r="X174" s="22">
        <v>68.658000000000001</v>
      </c>
      <c r="Y174" s="22">
        <v>70.471000000000004</v>
      </c>
      <c r="Z174" s="22">
        <v>100.639</v>
      </c>
      <c r="AA174" s="23">
        <f>SUM(W174:Z174)</f>
        <v>292.71500000000003</v>
      </c>
      <c r="AB174" s="22">
        <v>64.950999999999993</v>
      </c>
      <c r="AC174" s="22">
        <v>88.456999999999994</v>
      </c>
      <c r="AD174" s="22">
        <v>114.928</v>
      </c>
      <c r="AE174" s="22">
        <v>110.214</v>
      </c>
      <c r="AF174" s="23">
        <f>SUM(AB174:AE174)</f>
        <v>378.55</v>
      </c>
      <c r="AG174" s="22">
        <v>84.555999999999997</v>
      </c>
      <c r="AH174" s="22">
        <f>AH267</f>
        <v>92.309459365584857</v>
      </c>
      <c r="AI174" s="22">
        <f t="shared" ref="AI174:AJ174" si="271">AI267</f>
        <v>100.23982959197382</v>
      </c>
      <c r="AJ174" s="22">
        <f t="shared" si="271"/>
        <v>129.0144983934446</v>
      </c>
      <c r="AK174" s="105">
        <f>SUM(AG174:AJ174)</f>
        <v>406.11978735100331</v>
      </c>
      <c r="AL174" s="23">
        <f>AL267</f>
        <v>460.83973951043788</v>
      </c>
      <c r="AM174" s="23">
        <f>AM267</f>
        <v>519.62374968784025</v>
      </c>
      <c r="AN174" s="23">
        <f t="shared" ref="AN174:AT174" si="272">AN267</f>
        <v>582.37313709621844</v>
      </c>
      <c r="AO174" s="23">
        <f t="shared" si="272"/>
        <v>649.31107749776618</v>
      </c>
      <c r="AP174" s="23">
        <f t="shared" si="272"/>
        <v>720.67225611208369</v>
      </c>
      <c r="AQ174" s="23">
        <f t="shared" si="272"/>
        <v>796.70343129155026</v>
      </c>
      <c r="AR174" s="23">
        <f t="shared" si="272"/>
        <v>877.66402487559503</v>
      </c>
      <c r="AS174" s="23">
        <f t="shared" si="272"/>
        <v>963.82674045629665</v>
      </c>
      <c r="AT174" s="23">
        <f t="shared" si="272"/>
        <v>1055.4782108436536</v>
      </c>
      <c r="AU174" s="8" t="s">
        <v>29</v>
      </c>
    </row>
    <row r="175" spans="1:47" ht="16.2" customHeight="1" x14ac:dyDescent="0.3">
      <c r="B175" s="24" t="s">
        <v>35</v>
      </c>
      <c r="C175" s="21"/>
      <c r="D175" s="21"/>
      <c r="E175" s="21"/>
      <c r="F175" s="21"/>
      <c r="G175" s="14"/>
      <c r="H175" s="21">
        <f t="shared" ref="H175:K175" si="273">H174/C174-1</f>
        <v>1.4964690057168717E-2</v>
      </c>
      <c r="I175" s="21">
        <f t="shared" si="273"/>
        <v>4.6299816574954145</v>
      </c>
      <c r="J175" s="21">
        <f t="shared" si="273"/>
        <v>1.4672544080604535</v>
      </c>
      <c r="K175" s="21">
        <f t="shared" si="273"/>
        <v>0.19642339509889162</v>
      </c>
      <c r="L175" s="14">
        <f>L174/SUM(C174:F174)-1</f>
        <v>0.75781145976654396</v>
      </c>
      <c r="M175" s="21">
        <f t="shared" ref="M175:P175" si="274">M174/H174-1</f>
        <v>0.76691148047931956</v>
      </c>
      <c r="N175" s="21">
        <f t="shared" si="274"/>
        <v>0.59565204513816905</v>
      </c>
      <c r="O175" s="21">
        <f t="shared" si="274"/>
        <v>-0.10884237989904144</v>
      </c>
      <c r="P175" s="21">
        <f t="shared" si="274"/>
        <v>0.19736842105263142</v>
      </c>
      <c r="Q175" s="14">
        <f>Q174/SUM(H174:K174)-1</f>
        <v>0.24511901831196625</v>
      </c>
      <c r="R175" s="21">
        <f t="shared" ref="R175:U175" si="275">R174/M174-1</f>
        <v>0.52267400068756431</v>
      </c>
      <c r="S175" s="21">
        <f t="shared" si="275"/>
        <v>7.1425919738649313E-2</v>
      </c>
      <c r="T175" s="21">
        <f t="shared" si="275"/>
        <v>0.17530125594025803</v>
      </c>
      <c r="U175" s="21">
        <f t="shared" si="275"/>
        <v>0.17822121221554665</v>
      </c>
      <c r="V175" s="14">
        <f>V174/SUM(M174:P174)-1</f>
        <v>0.20423010042939782</v>
      </c>
      <c r="W175" s="21">
        <f t="shared" ref="W175:Z175" si="276">W174/R174-1</f>
        <v>8.6738777939697531E-2</v>
      </c>
      <c r="X175" s="21">
        <f t="shared" si="276"/>
        <v>0.1894598246768997</v>
      </c>
      <c r="Y175" s="21">
        <f t="shared" si="276"/>
        <v>0.27206267261141903</v>
      </c>
      <c r="Z175" s="21">
        <f t="shared" si="276"/>
        <v>0.32951543014161899</v>
      </c>
      <c r="AA175" s="14">
        <f>AA174/SUM(R174:U174)-1</f>
        <v>0.23228704459918004</v>
      </c>
      <c r="AB175" s="21">
        <f t="shared" ref="AB175:AE175" si="277">AB174/W174-1</f>
        <v>0.22671728332105667</v>
      </c>
      <c r="AC175" s="21">
        <f t="shared" si="277"/>
        <v>0.2883713478400185</v>
      </c>
      <c r="AD175" s="21">
        <f t="shared" si="277"/>
        <v>0.63085524542010174</v>
      </c>
      <c r="AE175" s="21">
        <f t="shared" si="277"/>
        <v>9.514204234938739E-2</v>
      </c>
      <c r="AF175" s="14">
        <f>AF174/SUM(W174:Z174)-1</f>
        <v>0.29323744939617025</v>
      </c>
      <c r="AG175" s="21">
        <f>AG174/AB174-1</f>
        <v>0.30184292774553123</v>
      </c>
      <c r="AH175" s="21">
        <f>AH174/AC174-1</f>
        <v>4.3551775049853081E-2</v>
      </c>
      <c r="AI175" s="21">
        <f>AI174/AD174-1</f>
        <v>-0.12780323687896933</v>
      </c>
      <c r="AJ175" s="21">
        <f>AJ174/AE174-1</f>
        <v>0.17058176269298464</v>
      </c>
      <c r="AK175" s="111">
        <f>AK174/SUM(AB174:AE174)-1</f>
        <v>7.2829975831470772E-2</v>
      </c>
      <c r="AL175" s="14">
        <f>AL174/AK174-1</f>
        <v>0.13473845368716519</v>
      </c>
      <c r="AM175" s="14">
        <f>AM174/AL174-1</f>
        <v>0.12755846585593966</v>
      </c>
      <c r="AN175" s="14">
        <f t="shared" ref="AN175:AT175" si="278">AN174/AM174-1</f>
        <v>0.12075927523727392</v>
      </c>
      <c r="AO175" s="14">
        <f t="shared" si="278"/>
        <v>0.11493995196156925</v>
      </c>
      <c r="AP175" s="14">
        <f t="shared" si="278"/>
        <v>0.10990291262135909</v>
      </c>
      <c r="AQ175" s="14">
        <f t="shared" si="278"/>
        <v>0.10550034989503154</v>
      </c>
      <c r="AR175" s="14">
        <f t="shared" si="278"/>
        <v>0.10161948650427943</v>
      </c>
      <c r="AS175" s="14">
        <f t="shared" si="278"/>
        <v>9.8172778123057691E-2</v>
      </c>
      <c r="AT175" s="14">
        <f t="shared" si="278"/>
        <v>9.5091230135373905E-2</v>
      </c>
      <c r="AU175" s="8" t="s">
        <v>29</v>
      </c>
    </row>
    <row r="176" spans="1:47" ht="16.2" customHeight="1" x14ac:dyDescent="0.3">
      <c r="B176" s="24" t="s">
        <v>37</v>
      </c>
      <c r="C176" s="21">
        <f t="shared" ref="C176:AJ176" si="279">C174/C$167</f>
        <v>0.22471315759644325</v>
      </c>
      <c r="D176" s="21">
        <f t="shared" si="279"/>
        <v>0.18572888599832763</v>
      </c>
      <c r="E176" s="21">
        <f t="shared" si="279"/>
        <v>0.23430532482294308</v>
      </c>
      <c r="F176" s="21">
        <f t="shared" si="279"/>
        <v>0.27058809332746064</v>
      </c>
      <c r="G176" s="14">
        <f>G174/G167</f>
        <v>0.24428945877595051</v>
      </c>
      <c r="H176" s="21">
        <f t="shared" si="279"/>
        <v>0.20074493675797317</v>
      </c>
      <c r="I176" s="21">
        <f t="shared" si="279"/>
        <v>0.26079265890640563</v>
      </c>
      <c r="J176" s="21">
        <f t="shared" si="279"/>
        <v>0.31254542553757253</v>
      </c>
      <c r="K176" s="21">
        <f t="shared" si="279"/>
        <v>0.25752943378657928</v>
      </c>
      <c r="L176" s="14">
        <f>L174/L167</f>
        <v>0.2652489560555476</v>
      </c>
      <c r="M176" s="21">
        <f t="shared" si="279"/>
        <v>0.20733248232648857</v>
      </c>
      <c r="N176" s="21">
        <f t="shared" si="279"/>
        <v>0.30341463964090809</v>
      </c>
      <c r="O176" s="21">
        <f t="shared" si="279"/>
        <v>0.25299226037764205</v>
      </c>
      <c r="P176" s="21">
        <f t="shared" si="279"/>
        <v>0.24911302486632361</v>
      </c>
      <c r="Q176" s="14">
        <f>Q174/Q167</f>
        <v>0.25415958531063687</v>
      </c>
      <c r="R176" s="21">
        <f t="shared" si="279"/>
        <v>0.24870595922367766</v>
      </c>
      <c r="S176" s="21">
        <f t="shared" si="279"/>
        <v>0.27628757419107797</v>
      </c>
      <c r="T176" s="21">
        <f t="shared" si="279"/>
        <v>0.24983088759210992</v>
      </c>
      <c r="U176" s="21">
        <f t="shared" si="279"/>
        <v>0.24972205818798429</v>
      </c>
      <c r="V176" s="14">
        <f>V174/V167</f>
        <v>0.25550374589242592</v>
      </c>
      <c r="W176" s="21">
        <f t="shared" si="279"/>
        <v>0.23697779130450353</v>
      </c>
      <c r="X176" s="21">
        <f t="shared" si="279"/>
        <v>0.26591426668112594</v>
      </c>
      <c r="Y176" s="21">
        <f t="shared" si="279"/>
        <v>0.26151122920037401</v>
      </c>
      <c r="Z176" s="21">
        <f t="shared" si="279"/>
        <v>0.27334778310137653</v>
      </c>
      <c r="AA176" s="14">
        <f>AA174/AA167</f>
        <v>0.26152313561517776</v>
      </c>
      <c r="AB176" s="21">
        <f t="shared" si="279"/>
        <v>0.22536154444012654</v>
      </c>
      <c r="AC176" s="21">
        <f t="shared" si="279"/>
        <v>0.27240168755581562</v>
      </c>
      <c r="AD176" s="21">
        <f t="shared" si="279"/>
        <v>0.31917617620675581</v>
      </c>
      <c r="AE176" s="21">
        <f t="shared" si="279"/>
        <v>0.25214882669601169</v>
      </c>
      <c r="AF176" s="14">
        <f>AF174/AF167</f>
        <v>0.26845347255611962</v>
      </c>
      <c r="AG176" s="21">
        <f t="shared" si="279"/>
        <v>0.24512964423210723</v>
      </c>
      <c r="AH176" s="21">
        <f t="shared" si="279"/>
        <v>0.25796285547326236</v>
      </c>
      <c r="AI176" s="21">
        <f t="shared" si="279"/>
        <v>0.26530786706585247</v>
      </c>
      <c r="AJ176" s="21">
        <f t="shared" si="279"/>
        <v>0.25565266673335624</v>
      </c>
      <c r="AK176" s="111">
        <f>AK174/AK167</f>
        <v>0.25618557528245417</v>
      </c>
      <c r="AL176" s="14">
        <f>AL174/AL167</f>
        <v>0.25476423265467618</v>
      </c>
      <c r="AM176" s="14">
        <f>AM174/AM167</f>
        <v>0.25256665911616683</v>
      </c>
      <c r="AN176" s="14">
        <f t="shared" ref="AN176:AT176" si="280">AN174/AN167</f>
        <v>0.25048339588732904</v>
      </c>
      <c r="AO176" s="14">
        <f t="shared" si="280"/>
        <v>0.24849412880789415</v>
      </c>
      <c r="AP176" s="14">
        <f t="shared" si="280"/>
        <v>0.24658369722717205</v>
      </c>
      <c r="AQ176" s="14">
        <f t="shared" si="280"/>
        <v>0.24474053659574069</v>
      </c>
      <c r="AR176" s="14">
        <f t="shared" si="280"/>
        <v>0.24295565423193277</v>
      </c>
      <c r="AS176" s="14">
        <f t="shared" si="280"/>
        <v>0.24122193678112389</v>
      </c>
      <c r="AT176" s="14">
        <f t="shared" si="280"/>
        <v>0.2395336704450286</v>
      </c>
      <c r="AU176" s="8" t="s">
        <v>29</v>
      </c>
    </row>
    <row r="177" spans="2:47" ht="7.95" customHeight="1" x14ac:dyDescent="0.3">
      <c r="G177" s="7"/>
      <c r="L177" s="7"/>
      <c r="Q177" s="7"/>
      <c r="V177" s="7"/>
      <c r="AA177" s="7"/>
      <c r="AF177" s="7"/>
      <c r="AG177" s="22"/>
      <c r="AK177" s="103"/>
      <c r="AL177" s="7"/>
      <c r="AM177" s="7"/>
      <c r="AN177" s="7"/>
      <c r="AO177" s="7"/>
      <c r="AP177" s="7"/>
      <c r="AQ177" s="7"/>
      <c r="AR177" s="7"/>
      <c r="AS177" s="7"/>
      <c r="AT177" s="7"/>
      <c r="AU177" s="8" t="s">
        <v>29</v>
      </c>
    </row>
    <row r="178" spans="2:47" ht="16.2" customHeight="1" x14ac:dyDescent="0.3">
      <c r="B178" s="20" t="s">
        <v>136</v>
      </c>
      <c r="C178" s="22">
        <v>0.158</v>
      </c>
      <c r="D178" s="22">
        <v>5.2999999999999999E-2</v>
      </c>
      <c r="E178" s="22">
        <v>0.189</v>
      </c>
      <c r="F178" s="22">
        <v>0.61899999999999999</v>
      </c>
      <c r="G178" s="23">
        <f>SUM(C178:F178)</f>
        <v>1.0190000000000001</v>
      </c>
      <c r="H178" s="22">
        <v>0.123</v>
      </c>
      <c r="I178" s="22">
        <v>0.64400000000000002</v>
      </c>
      <c r="J178" s="22">
        <v>0.58799999999999997</v>
      </c>
      <c r="K178" s="22">
        <v>1.2709999999999999</v>
      </c>
      <c r="L178" s="23">
        <f>SUM(H178:K178)</f>
        <v>2.6259999999999999</v>
      </c>
      <c r="M178" s="22">
        <v>1.012</v>
      </c>
      <c r="N178" s="22">
        <v>2.335</v>
      </c>
      <c r="O178" s="22">
        <v>1.276</v>
      </c>
      <c r="P178" s="22">
        <v>1.3180000000000001</v>
      </c>
      <c r="Q178" s="23">
        <f>SUM(M178:P178)</f>
        <v>5.9410000000000007</v>
      </c>
      <c r="R178" s="22">
        <v>1.016</v>
      </c>
      <c r="S178" s="22">
        <v>2.2959999999999998</v>
      </c>
      <c r="T178" s="22">
        <v>1.232</v>
      </c>
      <c r="U178" s="22">
        <v>2.78</v>
      </c>
      <c r="V178" s="23">
        <f>SUM(R178:U178)</f>
        <v>7.3239999999999998</v>
      </c>
      <c r="W178" s="22">
        <v>0.82699999999999996</v>
      </c>
      <c r="X178" s="22">
        <v>2.2650000000000001</v>
      </c>
      <c r="Y178" s="22">
        <v>2.5169999999999999</v>
      </c>
      <c r="Z178" s="22">
        <v>2.4329999999999998</v>
      </c>
      <c r="AA178" s="23">
        <f>SUM(W178:Z178)</f>
        <v>8.0419999999999998</v>
      </c>
      <c r="AB178" s="22">
        <v>1.0920000000000001</v>
      </c>
      <c r="AC178" s="22">
        <v>4.3250000000000002</v>
      </c>
      <c r="AD178" s="22">
        <v>2.6080000000000001</v>
      </c>
      <c r="AE178" s="22">
        <v>3.7269999999999999</v>
      </c>
      <c r="AF178" s="23">
        <f>SUM(AB178:AE178)</f>
        <v>11.752000000000001</v>
      </c>
      <c r="AG178" s="22">
        <v>1.389</v>
      </c>
      <c r="AH178" s="22">
        <f>AC178*(1+AH179)</f>
        <v>4.5845000000000002</v>
      </c>
      <c r="AI178" s="22">
        <f>AD178*(1+AI179)</f>
        <v>2.7644800000000003</v>
      </c>
      <c r="AJ178" s="22">
        <f>AE178*(1+AJ179)</f>
        <v>3.9506200000000002</v>
      </c>
      <c r="AK178" s="105">
        <f>SUM(AG178:AJ178)</f>
        <v>12.688600000000001</v>
      </c>
      <c r="AL178" s="23">
        <f>AK178*(1+AL179)</f>
        <v>13.449916000000002</v>
      </c>
      <c r="AM178" s="23">
        <f>AL178*(1+AM179)</f>
        <v>14.256910960000003</v>
      </c>
      <c r="AN178" s="23">
        <f t="shared" ref="AN178:AT178" si="281">AM178*(1+AN179)</f>
        <v>15.112325617600003</v>
      </c>
      <c r="AO178" s="23">
        <f t="shared" si="281"/>
        <v>16.019065154656005</v>
      </c>
      <c r="AP178" s="23">
        <f t="shared" si="281"/>
        <v>16.980209063935366</v>
      </c>
      <c r="AQ178" s="23">
        <f t="shared" si="281"/>
        <v>17.999021607771489</v>
      </c>
      <c r="AR178" s="23">
        <f t="shared" si="281"/>
        <v>19.07896290423778</v>
      </c>
      <c r="AS178" s="23">
        <f t="shared" si="281"/>
        <v>20.223700678492047</v>
      </c>
      <c r="AT178" s="23">
        <f t="shared" si="281"/>
        <v>21.437122719201572</v>
      </c>
      <c r="AU178" s="8" t="s">
        <v>29</v>
      </c>
    </row>
    <row r="179" spans="2:47" ht="16.2" customHeight="1" x14ac:dyDescent="0.3">
      <c r="B179" s="24" t="s">
        <v>35</v>
      </c>
      <c r="C179" s="21"/>
      <c r="D179" s="21"/>
      <c r="E179" s="21"/>
      <c r="F179" s="21"/>
      <c r="G179" s="14"/>
      <c r="H179" s="21">
        <f t="shared" ref="H179:K179" si="282">H178/C178-1</f>
        <v>-0.22151898734177222</v>
      </c>
      <c r="I179" s="21">
        <f t="shared" si="282"/>
        <v>11.150943396226415</v>
      </c>
      <c r="J179" s="21">
        <f t="shared" si="282"/>
        <v>2.1111111111111107</v>
      </c>
      <c r="K179" s="21">
        <f t="shared" si="282"/>
        <v>1.0533117932148626</v>
      </c>
      <c r="L179" s="14">
        <f>L178/SUM(C178:F178)-1</f>
        <v>1.5770363101079488</v>
      </c>
      <c r="M179" s="21">
        <f t="shared" ref="M179:P179" si="283">M178/H178-1</f>
        <v>7.227642276422765</v>
      </c>
      <c r="N179" s="21">
        <f t="shared" si="283"/>
        <v>2.6257763975155277</v>
      </c>
      <c r="O179" s="21">
        <f t="shared" si="283"/>
        <v>1.1700680272108843</v>
      </c>
      <c r="P179" s="21">
        <f t="shared" si="283"/>
        <v>3.6978756884343156E-2</v>
      </c>
      <c r="Q179" s="14">
        <f>Q178/SUM(H178:K178)-1</f>
        <v>1.2623762376237626</v>
      </c>
      <c r="R179" s="21">
        <f t="shared" ref="R179:U179" si="284">R178/M178-1</f>
        <v>3.9525691699604515E-3</v>
      </c>
      <c r="S179" s="21">
        <f t="shared" si="284"/>
        <v>-1.6702355460385454E-2</v>
      </c>
      <c r="T179" s="21">
        <f t="shared" si="284"/>
        <v>-3.4482758620689724E-2</v>
      </c>
      <c r="U179" s="21">
        <f t="shared" si="284"/>
        <v>1.109256449165402</v>
      </c>
      <c r="V179" s="14">
        <f>V178/SUM(M178:P178)-1</f>
        <v>0.23278909274532888</v>
      </c>
      <c r="W179" s="21">
        <f t="shared" ref="W179:Z179" si="285">W178/R178-1</f>
        <v>-0.1860236220472441</v>
      </c>
      <c r="X179" s="21">
        <f t="shared" si="285"/>
        <v>-1.3501742160278662E-2</v>
      </c>
      <c r="Y179" s="21">
        <f t="shared" si="285"/>
        <v>1.0430194805194803</v>
      </c>
      <c r="Z179" s="21">
        <f t="shared" si="285"/>
        <v>-0.12482014388489204</v>
      </c>
      <c r="AA179" s="14">
        <f>AA178/SUM(R178:U178)-1</f>
        <v>9.8033861277990075E-2</v>
      </c>
      <c r="AB179" s="21">
        <f t="shared" ref="AB179:AE179" si="286">AB178/W178-1</f>
        <v>0.32043530834341016</v>
      </c>
      <c r="AC179" s="21">
        <f t="shared" si="286"/>
        <v>0.90949227373068431</v>
      </c>
      <c r="AD179" s="21">
        <f t="shared" si="286"/>
        <v>3.615415176797776E-2</v>
      </c>
      <c r="AE179" s="21">
        <f t="shared" si="286"/>
        <v>0.53185367858610766</v>
      </c>
      <c r="AF179" s="14">
        <f>AF178/SUM(W178:Z178)-1</f>
        <v>0.46132802785376792</v>
      </c>
      <c r="AG179" s="21">
        <f>AG178/AB178-1</f>
        <v>0.2719780219780219</v>
      </c>
      <c r="AH179" s="26">
        <v>0.06</v>
      </c>
      <c r="AI179" s="65">
        <f>AH179</f>
        <v>0.06</v>
      </c>
      <c r="AJ179" s="65">
        <f t="shared" ref="AJ179" si="287">AI179</f>
        <v>0.06</v>
      </c>
      <c r="AK179" s="112">
        <f>AK178/SUM(AB178:AE178)-1</f>
        <v>7.9697072838665672E-2</v>
      </c>
      <c r="AL179" s="27">
        <v>0.06</v>
      </c>
      <c r="AM179" s="79">
        <f>AL179</f>
        <v>0.06</v>
      </c>
      <c r="AN179" s="79">
        <f t="shared" ref="AN179:AT179" si="288">AM179</f>
        <v>0.06</v>
      </c>
      <c r="AO179" s="79">
        <f t="shared" si="288"/>
        <v>0.06</v>
      </c>
      <c r="AP179" s="79">
        <f t="shared" si="288"/>
        <v>0.06</v>
      </c>
      <c r="AQ179" s="79">
        <f t="shared" si="288"/>
        <v>0.06</v>
      </c>
      <c r="AR179" s="79">
        <f t="shared" si="288"/>
        <v>0.06</v>
      </c>
      <c r="AS179" s="79">
        <f t="shared" si="288"/>
        <v>0.06</v>
      </c>
      <c r="AT179" s="79">
        <f t="shared" si="288"/>
        <v>0.06</v>
      </c>
      <c r="AU179" s="8" t="s">
        <v>29</v>
      </c>
    </row>
    <row r="180" spans="2:47" ht="16.2" customHeight="1" x14ac:dyDescent="0.3">
      <c r="B180" s="24" t="s">
        <v>37</v>
      </c>
      <c r="C180" s="21">
        <f t="shared" ref="C180:AJ180" si="289">C178/C$167</f>
        <v>1.9899494955855869E-3</v>
      </c>
      <c r="D180" s="21">
        <f t="shared" si="289"/>
        <v>1.6414258725881881E-3</v>
      </c>
      <c r="E180" s="21">
        <f t="shared" si="289"/>
        <v>2.0656640727463498E-3</v>
      </c>
      <c r="F180" s="21">
        <f t="shared" si="289"/>
        <v>3.7347878290565286E-3</v>
      </c>
      <c r="G180" s="14">
        <f>G178/G167</f>
        <v>2.7620939870921578E-3</v>
      </c>
      <c r="H180" s="21">
        <f t="shared" si="289"/>
        <v>1.3635003159329999E-3</v>
      </c>
      <c r="I180" s="21">
        <f t="shared" si="289"/>
        <v>4.9743942284668202E-3</v>
      </c>
      <c r="J180" s="21">
        <f t="shared" si="289"/>
        <v>3.4744996543227386E-3</v>
      </c>
      <c r="K180" s="21">
        <f t="shared" si="289"/>
        <v>6.1003412543376738E-3</v>
      </c>
      <c r="L180" s="14">
        <f>L178/L167</f>
        <v>4.3967893057225236E-3</v>
      </c>
      <c r="M180" s="21">
        <f t="shared" si="289"/>
        <v>6.5575045196239155E-3</v>
      </c>
      <c r="N180" s="21">
        <f t="shared" si="289"/>
        <v>1.3150558405938307E-2</v>
      </c>
      <c r="O180" s="21">
        <f t="shared" si="289"/>
        <v>6.8486533486479808E-3</v>
      </c>
      <c r="P180" s="21">
        <f t="shared" si="289"/>
        <v>5.1105277647451137E-3</v>
      </c>
      <c r="Q180" s="14">
        <f>Q178/Q167</f>
        <v>7.65495123689117E-3</v>
      </c>
      <c r="R180" s="21">
        <f t="shared" si="289"/>
        <v>5.1863724999744775E-3</v>
      </c>
      <c r="S180" s="21">
        <f t="shared" si="289"/>
        <v>1.0989852575148382E-2</v>
      </c>
      <c r="T180" s="21">
        <f t="shared" si="289"/>
        <v>5.5559063072163654E-3</v>
      </c>
      <c r="U180" s="21">
        <f t="shared" si="289"/>
        <v>9.1712550433655192E-3</v>
      </c>
      <c r="V180" s="14">
        <f>V178/V167</f>
        <v>7.8779371507553628E-3</v>
      </c>
      <c r="W180" s="21">
        <f t="shared" si="289"/>
        <v>3.701449249415914E-3</v>
      </c>
      <c r="X180" s="21">
        <f t="shared" si="289"/>
        <v>8.7724054594184257E-3</v>
      </c>
      <c r="Y180" s="21">
        <f t="shared" si="289"/>
        <v>9.3403494188721795E-3</v>
      </c>
      <c r="Z180" s="21">
        <f t="shared" si="289"/>
        <v>6.6083243701313514E-3</v>
      </c>
      <c r="AA180" s="14">
        <f>AA178/AA167</f>
        <v>7.1850402494483007E-3</v>
      </c>
      <c r="AB180" s="21">
        <f t="shared" si="289"/>
        <v>3.7889302170654527E-3</v>
      </c>
      <c r="AC180" s="21">
        <f t="shared" si="289"/>
        <v>1.3318757121300775E-2</v>
      </c>
      <c r="AD180" s="21">
        <f t="shared" si="289"/>
        <v>7.2428952696228874E-3</v>
      </c>
      <c r="AE180" s="21">
        <f t="shared" si="289"/>
        <v>8.5266724472030375E-3</v>
      </c>
      <c r="AF180" s="14">
        <f>AF178/AF167</f>
        <v>8.3340779539810266E-3</v>
      </c>
      <c r="AG180" s="21">
        <f t="shared" si="289"/>
        <v>4.0267405723827636E-3</v>
      </c>
      <c r="AH180" s="21">
        <f t="shared" si="289"/>
        <v>1.2811587447754937E-2</v>
      </c>
      <c r="AI180" s="21">
        <f t="shared" si="289"/>
        <v>7.3168349879650452E-3</v>
      </c>
      <c r="AJ180" s="21">
        <f t="shared" si="289"/>
        <v>7.828473162528304E-3</v>
      </c>
      <c r="AK180" s="111">
        <f>AK178/AK167</f>
        <v>8.0041317654868955E-3</v>
      </c>
      <c r="AL180" s="14">
        <f>AL178/AL167</f>
        <v>7.4354645123486393E-3</v>
      </c>
      <c r="AM180" s="14">
        <f>AM178/AM167</f>
        <v>6.9296685777873448E-3</v>
      </c>
      <c r="AN180" s="14">
        <f t="shared" ref="AN180:AT180" si="290">AN178/AN167</f>
        <v>6.4999334607463398E-3</v>
      </c>
      <c r="AO180" s="14">
        <f t="shared" si="290"/>
        <v>6.1305648061068738E-3</v>
      </c>
      <c r="AP180" s="14">
        <f t="shared" si="290"/>
        <v>5.809912474311103E-3</v>
      </c>
      <c r="AQ180" s="14">
        <f t="shared" si="290"/>
        <v>5.5291467734024371E-3</v>
      </c>
      <c r="AR180" s="14">
        <f t="shared" si="290"/>
        <v>5.2814537033381371E-3</v>
      </c>
      <c r="AS180" s="14">
        <f t="shared" si="290"/>
        <v>5.061490869446141E-3</v>
      </c>
      <c r="AT180" s="14">
        <f t="shared" si="290"/>
        <v>4.8650106046305595E-3</v>
      </c>
      <c r="AU180" s="8" t="s">
        <v>29</v>
      </c>
    </row>
    <row r="181" spans="2:47" ht="7.95" customHeight="1" x14ac:dyDescent="0.3">
      <c r="G181" s="7"/>
      <c r="L181" s="7"/>
      <c r="Q181" s="7"/>
      <c r="V181" s="7"/>
      <c r="AA181" s="7"/>
      <c r="AF181" s="7"/>
      <c r="AG181" s="22"/>
      <c r="AK181" s="103"/>
      <c r="AL181" s="7"/>
      <c r="AM181" s="7"/>
      <c r="AN181" s="7"/>
      <c r="AO181" s="7"/>
      <c r="AP181" s="7"/>
      <c r="AQ181" s="7"/>
      <c r="AR181" s="7"/>
      <c r="AS181" s="7"/>
      <c r="AT181" s="7"/>
      <c r="AU181" s="8" t="s">
        <v>29</v>
      </c>
    </row>
    <row r="182" spans="2:47" ht="16.2" customHeight="1" x14ac:dyDescent="0.3">
      <c r="B182" s="20" t="s">
        <v>137</v>
      </c>
      <c r="C182" s="22">
        <v>9.1389999999999993</v>
      </c>
      <c r="D182" s="22">
        <v>2.96</v>
      </c>
      <c r="E182" s="22">
        <v>10.429</v>
      </c>
      <c r="F182" s="22">
        <v>19.832000000000001</v>
      </c>
      <c r="G182" s="23">
        <f>SUM(C182:F182)</f>
        <v>42.36</v>
      </c>
      <c r="H182" s="22">
        <v>11.69</v>
      </c>
      <c r="I182" s="22">
        <v>17.847000000000001</v>
      </c>
      <c r="J182" s="22">
        <v>22.149000000000001</v>
      </c>
      <c r="K182" s="22">
        <v>27.829000000000001</v>
      </c>
      <c r="L182" s="23">
        <f>SUM(H182:K182)</f>
        <v>79.515000000000001</v>
      </c>
      <c r="M182" s="22">
        <v>21.146999999999998</v>
      </c>
      <c r="N182" s="22">
        <v>23.646999999999998</v>
      </c>
      <c r="O182" s="22">
        <v>27.129000000000001</v>
      </c>
      <c r="P182" s="22">
        <v>31.530999999999999</v>
      </c>
      <c r="Q182" s="23">
        <f>SUM(M182:P182)</f>
        <v>103.45400000000001</v>
      </c>
      <c r="R182" s="22">
        <v>25.63</v>
      </c>
      <c r="S182" s="22">
        <v>28.850999999999999</v>
      </c>
      <c r="T182" s="22">
        <v>31.773</v>
      </c>
      <c r="U182" s="22">
        <v>41.064999999999998</v>
      </c>
      <c r="V182" s="23">
        <f>SUM(R182:U182)</f>
        <v>127.31899999999999</v>
      </c>
      <c r="W182" s="22">
        <v>30.373000000000001</v>
      </c>
      <c r="X182" s="22">
        <v>34.689</v>
      </c>
      <c r="Y182" s="22">
        <v>37.671999999999997</v>
      </c>
      <c r="Z182" s="22">
        <v>49.390999999999998</v>
      </c>
      <c r="AA182" s="23">
        <f>SUM(W182:Z182)</f>
        <v>152.125</v>
      </c>
      <c r="AB182" s="22">
        <v>41.25</v>
      </c>
      <c r="AC182" s="22">
        <v>45.095999999999997</v>
      </c>
      <c r="AD182" s="22">
        <v>49.497999999999998</v>
      </c>
      <c r="AE182" s="22">
        <v>63.793999999999997</v>
      </c>
      <c r="AF182" s="23">
        <f>SUM(AB182:AE182)</f>
        <v>199.63799999999998</v>
      </c>
      <c r="AG182" s="22">
        <v>48.165999999999997</v>
      </c>
      <c r="AH182" s="22">
        <f>AH277</f>
        <v>52.582636593532818</v>
      </c>
      <c r="AI182" s="22">
        <f t="shared" ref="AI182:AJ182" si="291">AI277</f>
        <v>57.100047685876952</v>
      </c>
      <c r="AJ182" s="22">
        <f t="shared" si="291"/>
        <v>73.491086730907952</v>
      </c>
      <c r="AK182" s="105">
        <f>SUM(AG182:AJ182)</f>
        <v>231.33977101031769</v>
      </c>
      <c r="AL182" s="23">
        <f>AL277</f>
        <v>262.51013403259083</v>
      </c>
      <c r="AM182" s="23">
        <f>AM277</f>
        <v>295.99552400142528</v>
      </c>
      <c r="AN182" s="23">
        <f t="shared" ref="AN182:AT182" si="292">AN277</f>
        <v>331.73972895331445</v>
      </c>
      <c r="AO182" s="23">
        <f t="shared" si="292"/>
        <v>369.86987746295239</v>
      </c>
      <c r="AP182" s="23">
        <f t="shared" si="292"/>
        <v>410.51965428703608</v>
      </c>
      <c r="AQ182" s="23">
        <f t="shared" si="292"/>
        <v>453.82962145310574</v>
      </c>
      <c r="AR182" s="23">
        <f t="shared" si="292"/>
        <v>499.9475545456018</v>
      </c>
      <c r="AS182" s="23">
        <f t="shared" si="292"/>
        <v>549.02879489117254</v>
      </c>
      <c r="AT182" s="23">
        <f t="shared" si="292"/>
        <v>601.23661837711597</v>
      </c>
      <c r="AU182" s="8" t="s">
        <v>29</v>
      </c>
    </row>
    <row r="183" spans="2:47" ht="16.2" customHeight="1" x14ac:dyDescent="0.3">
      <c r="B183" s="24" t="s">
        <v>35</v>
      </c>
      <c r="C183" s="21"/>
      <c r="D183" s="21"/>
      <c r="E183" s="21"/>
      <c r="F183" s="21"/>
      <c r="G183" s="14"/>
      <c r="H183" s="21">
        <f t="shared" ref="H183:K183" si="293">H182/C182-1</f>
        <v>0.27913338439654223</v>
      </c>
      <c r="I183" s="21">
        <f t="shared" si="293"/>
        <v>5.0293918918918923</v>
      </c>
      <c r="J183" s="21">
        <f t="shared" si="293"/>
        <v>1.1237894333109599</v>
      </c>
      <c r="K183" s="21">
        <f t="shared" si="293"/>
        <v>0.40323719241629696</v>
      </c>
      <c r="L183" s="14">
        <f>L182/SUM(C182:F182)-1</f>
        <v>0.8771246458923514</v>
      </c>
      <c r="M183" s="21">
        <f t="shared" ref="M183:P183" si="294">M182/H182-1</f>
        <v>0.80898203592814366</v>
      </c>
      <c r="N183" s="21">
        <f t="shared" si="294"/>
        <v>0.32498459124782864</v>
      </c>
      <c r="O183" s="21">
        <f t="shared" si="294"/>
        <v>0.22484085060273595</v>
      </c>
      <c r="P183" s="21">
        <f t="shared" si="294"/>
        <v>0.13302669876747264</v>
      </c>
      <c r="Q183" s="14">
        <f>Q182/SUM(H182:K182)-1</f>
        <v>0.30106269257372831</v>
      </c>
      <c r="R183" s="21">
        <f t="shared" ref="R183:U183" si="295">R182/M182-1</f>
        <v>0.21199224476285061</v>
      </c>
      <c r="S183" s="21">
        <f t="shared" si="295"/>
        <v>0.22007019917959991</v>
      </c>
      <c r="T183" s="21">
        <f t="shared" si="295"/>
        <v>0.17118212982417336</v>
      </c>
      <c r="U183" s="21">
        <f t="shared" si="295"/>
        <v>0.30236909707906512</v>
      </c>
      <c r="V183" s="14">
        <f>V182/SUM(M182:P182)-1</f>
        <v>0.2306822355829643</v>
      </c>
      <c r="W183" s="21">
        <f t="shared" ref="W183:Z183" si="296">W182/R182-1</f>
        <v>0.18505657432696077</v>
      </c>
      <c r="X183" s="21">
        <f t="shared" si="296"/>
        <v>0.20235000519912649</v>
      </c>
      <c r="Y183" s="21">
        <f t="shared" si="296"/>
        <v>0.18566078116639906</v>
      </c>
      <c r="Z183" s="21">
        <f t="shared" si="296"/>
        <v>0.20275173505418231</v>
      </c>
      <c r="AA183" s="14">
        <f>AA182/SUM(R182:U182)-1</f>
        <v>0.19483344983859441</v>
      </c>
      <c r="AB183" s="21">
        <f t="shared" ref="AB183:AE183" si="297">AB182/W182-1</f>
        <v>0.35811411450959718</v>
      </c>
      <c r="AC183" s="21">
        <f t="shared" si="297"/>
        <v>0.30000864827466911</v>
      </c>
      <c r="AD183" s="21">
        <f t="shared" si="297"/>
        <v>0.31392015289870456</v>
      </c>
      <c r="AE183" s="21">
        <f t="shared" si="297"/>
        <v>0.29161183211516262</v>
      </c>
      <c r="AF183" s="14">
        <f>AF182/SUM(W182:Z182)-1</f>
        <v>0.31232867707477396</v>
      </c>
      <c r="AG183" s="21">
        <f>AG182/AB182-1</f>
        <v>0.16766060606060607</v>
      </c>
      <c r="AH183" s="21">
        <f>AH182/AC182-1</f>
        <v>0.166015535602555</v>
      </c>
      <c r="AI183" s="21">
        <f>AI182/AD182-1</f>
        <v>0.15358292629756676</v>
      </c>
      <c r="AJ183" s="21">
        <f>AJ182/AE182-1</f>
        <v>0.15200625028855308</v>
      </c>
      <c r="AK183" s="111">
        <f>AK182/SUM(AB182:AE182)-1</f>
        <v>0.15879627631171278</v>
      </c>
      <c r="AL183" s="14">
        <f>AL182/AK182-1</f>
        <v>0.13473845368716542</v>
      </c>
      <c r="AM183" s="14">
        <f>AM182/AL182-1</f>
        <v>0.12755846585593988</v>
      </c>
      <c r="AN183" s="14">
        <f t="shared" ref="AN183:AT183" si="298">AN182/AM182-1</f>
        <v>0.1207592752372737</v>
      </c>
      <c r="AO183" s="14">
        <f t="shared" si="298"/>
        <v>0.11493995196156925</v>
      </c>
      <c r="AP183" s="14">
        <f t="shared" si="298"/>
        <v>0.10990291262135909</v>
      </c>
      <c r="AQ183" s="14">
        <f t="shared" si="298"/>
        <v>0.10550034989503154</v>
      </c>
      <c r="AR183" s="14">
        <f t="shared" si="298"/>
        <v>0.10161948650427921</v>
      </c>
      <c r="AS183" s="14">
        <f t="shared" si="298"/>
        <v>9.8172778123057913E-2</v>
      </c>
      <c r="AT183" s="14">
        <f t="shared" si="298"/>
        <v>9.5091230135373905E-2</v>
      </c>
      <c r="AU183" s="8" t="s">
        <v>29</v>
      </c>
    </row>
    <row r="184" spans="2:47" ht="16.2" customHeight="1" x14ac:dyDescent="0.3">
      <c r="B184" s="24" t="s">
        <v>37</v>
      </c>
      <c r="C184" s="21">
        <f t="shared" ref="C184:AJ184" si="299">C182/C$167</f>
        <v>0.11510220531744732</v>
      </c>
      <c r="D184" s="21">
        <f t="shared" si="299"/>
        <v>9.1672086469076167E-2</v>
      </c>
      <c r="E184" s="21">
        <f t="shared" si="299"/>
        <v>0.11398312494535282</v>
      </c>
      <c r="F184" s="21">
        <f t="shared" si="299"/>
        <v>0.11965801651995005</v>
      </c>
      <c r="G184" s="14">
        <f>G182/G167</f>
        <v>0.11482070784418429</v>
      </c>
      <c r="H184" s="21">
        <f t="shared" si="299"/>
        <v>0.12958795685574609</v>
      </c>
      <c r="I184" s="21">
        <f t="shared" si="299"/>
        <v>0.13785405868858283</v>
      </c>
      <c r="J184" s="21">
        <f t="shared" si="299"/>
        <v>0.13087872932584074</v>
      </c>
      <c r="K184" s="21">
        <f t="shared" si="299"/>
        <v>0.13356915559949892</v>
      </c>
      <c r="L184" s="14">
        <f>L182/L167</f>
        <v>0.13313431136501391</v>
      </c>
      <c r="M184" s="21">
        <f t="shared" si="299"/>
        <v>0.13702722141945348</v>
      </c>
      <c r="N184" s="21">
        <f t="shared" si="299"/>
        <v>0.13317826750544889</v>
      </c>
      <c r="O184" s="21">
        <f t="shared" si="299"/>
        <v>0.14560902562340994</v>
      </c>
      <c r="P184" s="21">
        <f t="shared" si="299"/>
        <v>0.12226104017464201</v>
      </c>
      <c r="Q184" s="14">
        <f>Q182/Q167</f>
        <v>0.13330000425203486</v>
      </c>
      <c r="R184" s="21">
        <f t="shared" si="299"/>
        <v>0.13083339288813567</v>
      </c>
      <c r="S184" s="21">
        <f t="shared" si="299"/>
        <v>0.13809592188397474</v>
      </c>
      <c r="T184" s="21">
        <f t="shared" si="299"/>
        <v>0.14328556095713113</v>
      </c>
      <c r="U184" s="21">
        <f t="shared" si="299"/>
        <v>0.13547395264597303</v>
      </c>
      <c r="V184" s="14">
        <f>V182/V167</f>
        <v>0.13694853633219853</v>
      </c>
      <c r="W184" s="21">
        <f t="shared" si="299"/>
        <v>0.13594210163544082</v>
      </c>
      <c r="X184" s="21">
        <f t="shared" si="299"/>
        <v>0.13435142295000696</v>
      </c>
      <c r="Y184" s="21">
        <f t="shared" si="299"/>
        <v>0.13979723611750208</v>
      </c>
      <c r="Z184" s="21">
        <f t="shared" si="299"/>
        <v>0.13415197244766033</v>
      </c>
      <c r="AA184" s="14">
        <f>AA182/AA167</f>
        <v>0.13591447997355419</v>
      </c>
      <c r="AB184" s="21">
        <f t="shared" si="299"/>
        <v>0.14312579803475267</v>
      </c>
      <c r="AC184" s="21">
        <f t="shared" si="299"/>
        <v>0.1388722939057063</v>
      </c>
      <c r="AD184" s="21">
        <f t="shared" si="299"/>
        <v>0.13746504219930739</v>
      </c>
      <c r="AE184" s="21">
        <f t="shared" si="299"/>
        <v>0.1459486294866838</v>
      </c>
      <c r="AF184" s="14">
        <f>AF182/AF167</f>
        <v>0.14157578748952213</v>
      </c>
      <c r="AG184" s="21">
        <f t="shared" si="299"/>
        <v>0.13963425947400157</v>
      </c>
      <c r="AH184" s="21">
        <f t="shared" si="299"/>
        <v>0.14694449709926152</v>
      </c>
      <c r="AI184" s="21">
        <f t="shared" si="299"/>
        <v>0.1511284678212528</v>
      </c>
      <c r="AJ184" s="21">
        <f t="shared" si="299"/>
        <v>0.14562853429536446</v>
      </c>
      <c r="AK184" s="111">
        <f>AK182/AK167</f>
        <v>0.14593209729711301</v>
      </c>
      <c r="AL184" s="14">
        <f>AL182/AL167</f>
        <v>0.14512245174848779</v>
      </c>
      <c r="AM184" s="14">
        <f>AM182/AM167</f>
        <v>0.14387063842884351</v>
      </c>
      <c r="AN184" s="14">
        <f t="shared" ref="AN184:AT184" si="300">AN182/AN167</f>
        <v>0.14268394018531022</v>
      </c>
      <c r="AO184" s="14">
        <f t="shared" si="300"/>
        <v>0.14155078537491164</v>
      </c>
      <c r="AP184" s="14">
        <f t="shared" si="300"/>
        <v>0.14046253797062266</v>
      </c>
      <c r="AQ184" s="14">
        <f t="shared" si="300"/>
        <v>0.13941261040813716</v>
      </c>
      <c r="AR184" s="14">
        <f t="shared" si="300"/>
        <v>0.13839588014730206</v>
      </c>
      <c r="AS184" s="14">
        <f t="shared" si="300"/>
        <v>0.13740829517715614</v>
      </c>
      <c r="AT184" s="14">
        <f t="shared" si="300"/>
        <v>0.13644660072206877</v>
      </c>
      <c r="AU184" s="8" t="s">
        <v>29</v>
      </c>
    </row>
    <row r="185" spans="2:47" ht="7.95" customHeight="1" x14ac:dyDescent="0.3">
      <c r="G185" s="7"/>
      <c r="L185" s="7"/>
      <c r="Q185" s="7"/>
      <c r="V185" s="7"/>
      <c r="AA185" s="7"/>
      <c r="AF185" s="7"/>
      <c r="AG185" s="22"/>
      <c r="AK185" s="103"/>
      <c r="AL185" s="7"/>
      <c r="AM185" s="7"/>
      <c r="AN185" s="7"/>
      <c r="AO185" s="7"/>
      <c r="AP185" s="7"/>
      <c r="AQ185" s="7"/>
      <c r="AR185" s="7"/>
      <c r="AS185" s="7"/>
      <c r="AT185" s="7"/>
      <c r="AU185" s="8" t="s">
        <v>29</v>
      </c>
    </row>
    <row r="186" spans="2:47" ht="16.2" customHeight="1" x14ac:dyDescent="0.3">
      <c r="B186" s="20" t="s">
        <v>138</v>
      </c>
      <c r="C186" s="22">
        <v>2.9</v>
      </c>
      <c r="D186" s="22">
        <v>4.0000000000000001E-3</v>
      </c>
      <c r="E186" s="22">
        <v>0</v>
      </c>
      <c r="F186" s="22">
        <v>0</v>
      </c>
      <c r="G186" s="23">
        <f>SUM(C186:F186)</f>
        <v>2.9039999999999999</v>
      </c>
      <c r="H186" s="22">
        <v>0</v>
      </c>
      <c r="I186" s="22">
        <v>0</v>
      </c>
      <c r="J186" s="22">
        <v>0</v>
      </c>
      <c r="K186" s="22">
        <v>1.6E-2</v>
      </c>
      <c r="L186" s="23">
        <f>SUM(H186:K186)</f>
        <v>1.6E-2</v>
      </c>
      <c r="M186" s="22">
        <v>5.9059999999999997</v>
      </c>
      <c r="N186" s="22">
        <v>5.8929999999999998</v>
      </c>
      <c r="O186" s="22">
        <v>8.4789999999999992</v>
      </c>
      <c r="P186" s="22">
        <v>7.6360000000000001</v>
      </c>
      <c r="Q186" s="23">
        <f>SUM(M186:P186)</f>
        <v>27.913999999999998</v>
      </c>
      <c r="R186" s="22">
        <v>9.5050000000000008</v>
      </c>
      <c r="S186" s="22">
        <v>9.1649999999999991</v>
      </c>
      <c r="T186" s="22">
        <v>10.207000000000001</v>
      </c>
      <c r="U186" s="22">
        <v>8.3580000000000005</v>
      </c>
      <c r="V186" s="23">
        <f>SUM(R186:U186)</f>
        <v>37.234999999999999</v>
      </c>
      <c r="W186" s="22">
        <v>11.023999999999999</v>
      </c>
      <c r="X186" s="22">
        <v>14.738</v>
      </c>
      <c r="Y186" s="22">
        <v>12.968</v>
      </c>
      <c r="Z186" s="22">
        <v>9.8279999999999994</v>
      </c>
      <c r="AA186" s="23">
        <f>SUM(W186:Z186)</f>
        <v>48.558000000000007</v>
      </c>
      <c r="AB186" s="22">
        <v>12.21</v>
      </c>
      <c r="AC186" s="22">
        <v>15.49</v>
      </c>
      <c r="AD186" s="22">
        <v>12.776999999999999</v>
      </c>
      <c r="AE186" s="22">
        <v>10.976000000000001</v>
      </c>
      <c r="AF186" s="23">
        <f>SUM(AB186:AE186)</f>
        <v>51.453000000000003</v>
      </c>
      <c r="AG186" s="22">
        <v>12.569000000000001</v>
      </c>
      <c r="AH186" s="22">
        <f>AC186*(1+AH187)</f>
        <v>17.039000000000001</v>
      </c>
      <c r="AI186" s="22">
        <f>AD186*(1+AI187)</f>
        <v>14.0547</v>
      </c>
      <c r="AJ186" s="22">
        <f>AE186*(1+AJ187)</f>
        <v>12.073600000000003</v>
      </c>
      <c r="AK186" s="105">
        <f>SUM(AG186:AJ186)</f>
        <v>55.7363</v>
      </c>
      <c r="AL186" s="23">
        <f>AK186*(1+AL187)</f>
        <v>60.195204000000004</v>
      </c>
      <c r="AM186" s="23">
        <f>AL186*(1+AM187)</f>
        <v>65.010820320000008</v>
      </c>
      <c r="AN186" s="23">
        <f t="shared" ref="AN186:AT186" si="301">AM186*(1+AN187)</f>
        <v>70.21168594560001</v>
      </c>
      <c r="AO186" s="23">
        <f t="shared" si="301"/>
        <v>75.828620821248009</v>
      </c>
      <c r="AP186" s="23">
        <f t="shared" si="301"/>
        <v>81.89491048694785</v>
      </c>
      <c r="AQ186" s="23">
        <f t="shared" si="301"/>
        <v>88.446503325903677</v>
      </c>
      <c r="AR186" s="23">
        <f t="shared" si="301"/>
        <v>95.522223591975973</v>
      </c>
      <c r="AS186" s="23">
        <f t="shared" si="301"/>
        <v>103.16400147933406</v>
      </c>
      <c r="AT186" s="23">
        <f t="shared" si="301"/>
        <v>111.41712159768079</v>
      </c>
      <c r="AU186" s="8" t="s">
        <v>29</v>
      </c>
    </row>
    <row r="187" spans="2:47" ht="16.2" customHeight="1" x14ac:dyDescent="0.3">
      <c r="B187" s="24" t="s">
        <v>35</v>
      </c>
      <c r="C187" s="21"/>
      <c r="D187" s="21"/>
      <c r="E187" s="21"/>
      <c r="F187" s="21"/>
      <c r="G187" s="14"/>
      <c r="H187" s="21">
        <f t="shared" ref="H187:K187" si="302">H186/C186-1</f>
        <v>-1</v>
      </c>
      <c r="I187" s="21">
        <f t="shared" si="302"/>
        <v>-1</v>
      </c>
      <c r="J187" s="21" t="e">
        <f t="shared" si="302"/>
        <v>#DIV/0!</v>
      </c>
      <c r="K187" s="21" t="e">
        <f t="shared" si="302"/>
        <v>#DIV/0!</v>
      </c>
      <c r="L187" s="14">
        <f>L186/SUM(C186:F186)-1</f>
        <v>-0.99449035812672171</v>
      </c>
      <c r="M187" s="21" t="e">
        <f t="shared" ref="M187:P187" si="303">M186/H186-1</f>
        <v>#DIV/0!</v>
      </c>
      <c r="N187" s="21" t="e">
        <f t="shared" si="303"/>
        <v>#DIV/0!</v>
      </c>
      <c r="O187" s="21" t="e">
        <f t="shared" si="303"/>
        <v>#DIV/0!</v>
      </c>
      <c r="P187" s="21">
        <f t="shared" si="303"/>
        <v>476.25</v>
      </c>
      <c r="Q187" s="14">
        <f>Q186/SUM(H186:K186)-1</f>
        <v>1743.6249999999998</v>
      </c>
      <c r="R187" s="21">
        <f t="shared" ref="R187:U187" si="304">R186/M186-1</f>
        <v>0.60938029122925852</v>
      </c>
      <c r="S187" s="21">
        <f t="shared" si="304"/>
        <v>0.55523502460546403</v>
      </c>
      <c r="T187" s="21">
        <f t="shared" si="304"/>
        <v>0.20379761764359028</v>
      </c>
      <c r="U187" s="21">
        <f t="shared" si="304"/>
        <v>9.45521215295968E-2</v>
      </c>
      <c r="V187" s="14">
        <f>V186/SUM(M186:P186)-1</f>
        <v>0.33391846385326374</v>
      </c>
      <c r="W187" s="21">
        <f t="shared" ref="W187:Z187" si="305">W186/R186-1</f>
        <v>0.15981062598632279</v>
      </c>
      <c r="X187" s="21">
        <f t="shared" si="305"/>
        <v>0.60807419530823803</v>
      </c>
      <c r="Y187" s="21">
        <f t="shared" si="305"/>
        <v>0.27050063681786995</v>
      </c>
      <c r="Z187" s="21">
        <f t="shared" si="305"/>
        <v>0.17587939698492439</v>
      </c>
      <c r="AA187" s="14">
        <f>AA186/SUM(R186:U186)-1</f>
        <v>0.30409560897005528</v>
      </c>
      <c r="AB187" s="21">
        <f t="shared" ref="AB187:AE187" si="306">AB186/W186-1</f>
        <v>0.10758345428156768</v>
      </c>
      <c r="AC187" s="21">
        <f t="shared" si="306"/>
        <v>5.1024562355814984E-2</v>
      </c>
      <c r="AD187" s="21">
        <f t="shared" si="306"/>
        <v>-1.4728562615669349E-2</v>
      </c>
      <c r="AE187" s="21">
        <f t="shared" si="306"/>
        <v>0.11680911680911699</v>
      </c>
      <c r="AF187" s="14">
        <f>AF186/SUM(W186:Z186)-1</f>
        <v>5.961942419374755E-2</v>
      </c>
      <c r="AG187" s="21">
        <f>AG186/AB186-1</f>
        <v>2.9402129402129384E-2</v>
      </c>
      <c r="AH187" s="26">
        <v>0.1</v>
      </c>
      <c r="AI187" s="26">
        <v>0.1</v>
      </c>
      <c r="AJ187" s="26">
        <v>0.1</v>
      </c>
      <c r="AK187" s="112">
        <f>AK186/SUM(AB186:AE186)-1</f>
        <v>8.3246846636736427E-2</v>
      </c>
      <c r="AL187" s="27">
        <v>0.08</v>
      </c>
      <c r="AM187" s="27">
        <v>0.08</v>
      </c>
      <c r="AN187" s="27">
        <v>0.08</v>
      </c>
      <c r="AO187" s="27">
        <v>0.08</v>
      </c>
      <c r="AP187" s="27">
        <v>0.08</v>
      </c>
      <c r="AQ187" s="27">
        <v>0.08</v>
      </c>
      <c r="AR187" s="27">
        <v>0.08</v>
      </c>
      <c r="AS187" s="27">
        <v>0.08</v>
      </c>
      <c r="AT187" s="27">
        <v>0.08</v>
      </c>
      <c r="AU187" s="8" t="s">
        <v>29</v>
      </c>
    </row>
    <row r="188" spans="2:47" ht="16.2" customHeight="1" x14ac:dyDescent="0.3">
      <c r="B188" s="24" t="s">
        <v>37</v>
      </c>
      <c r="C188" s="21">
        <f t="shared" ref="C188:AJ188" si="307">C186/C$167</f>
        <v>3.6524389475937981E-2</v>
      </c>
      <c r="D188" s="21">
        <f t="shared" si="307"/>
        <v>1.2388119793118403E-4</v>
      </c>
      <c r="E188" s="21">
        <f t="shared" si="307"/>
        <v>0</v>
      </c>
      <c r="F188" s="21">
        <f t="shared" si="307"/>
        <v>0</v>
      </c>
      <c r="G188" s="14">
        <f>G186/G167</f>
        <v>7.8715612743038513E-3</v>
      </c>
      <c r="H188" s="21">
        <f t="shared" si="307"/>
        <v>0</v>
      </c>
      <c r="I188" s="21">
        <f t="shared" si="307"/>
        <v>0</v>
      </c>
      <c r="J188" s="21">
        <f t="shared" si="307"/>
        <v>0</v>
      </c>
      <c r="K188" s="21">
        <f t="shared" si="307"/>
        <v>7.6794225074274414E-5</v>
      </c>
      <c r="L188" s="14">
        <f>L186/L167</f>
        <v>2.6789272235933124E-5</v>
      </c>
      <c r="M188" s="21">
        <f t="shared" si="307"/>
        <v>3.8269389024603598E-2</v>
      </c>
      <c r="N188" s="21">
        <f t="shared" si="307"/>
        <v>3.3188968173959076E-2</v>
      </c>
      <c r="O188" s="21">
        <f t="shared" si="307"/>
        <v>4.5509194156102058E-2</v>
      </c>
      <c r="P188" s="21">
        <f t="shared" si="307"/>
        <v>2.9608490145366984E-2</v>
      </c>
      <c r="Q188" s="14">
        <f>Q186/Q167</f>
        <v>3.5967060903312587E-2</v>
      </c>
      <c r="R188" s="21">
        <f t="shared" si="307"/>
        <v>4.8520148240410836E-2</v>
      </c>
      <c r="S188" s="21">
        <f t="shared" si="307"/>
        <v>4.3868466398621478E-2</v>
      </c>
      <c r="T188" s="21">
        <f t="shared" si="307"/>
        <v>4.6030142595582343E-2</v>
      </c>
      <c r="U188" s="21">
        <f t="shared" si="307"/>
        <v>2.757314735699605E-2</v>
      </c>
      <c r="V188" s="14">
        <f>V186/V167</f>
        <v>4.0051200137681042E-2</v>
      </c>
      <c r="W188" s="21">
        <f t="shared" si="307"/>
        <v>4.9340721312649376E-2</v>
      </c>
      <c r="X188" s="21">
        <f t="shared" si="307"/>
        <v>5.7080667399959713E-2</v>
      </c>
      <c r="Y188" s="21">
        <f t="shared" si="307"/>
        <v>4.812302394276298E-2</v>
      </c>
      <c r="Z188" s="21">
        <f t="shared" si="307"/>
        <v>2.6694045174537988E-2</v>
      </c>
      <c r="AA188" s="14">
        <f>AA186/AA167</f>
        <v>4.3383633975716325E-2</v>
      </c>
      <c r="AB188" s="21">
        <f t="shared" si="307"/>
        <v>4.2365236218286792E-2</v>
      </c>
      <c r="AC188" s="21">
        <f t="shared" si="307"/>
        <v>4.7701167123456414E-2</v>
      </c>
      <c r="AD188" s="21">
        <f t="shared" si="307"/>
        <v>3.5484077016860287E-2</v>
      </c>
      <c r="AE188" s="21">
        <f t="shared" si="307"/>
        <v>2.5111016039844527E-2</v>
      </c>
      <c r="AF188" s="14">
        <f>AF186/AF167</f>
        <v>3.6488539224488241E-2</v>
      </c>
      <c r="AG188" s="21">
        <f t="shared" si="307"/>
        <v>3.6437798599192911E-2</v>
      </c>
      <c r="AH188" s="21">
        <f t="shared" si="307"/>
        <v>4.7616236999083079E-2</v>
      </c>
      <c r="AI188" s="21">
        <f t="shared" si="307"/>
        <v>3.7199010557266578E-2</v>
      </c>
      <c r="AJ188" s="21">
        <f t="shared" si="307"/>
        <v>2.3924815237887153E-2</v>
      </c>
      <c r="AK188" s="111">
        <f>AK186/AK167</f>
        <v>3.5159173535355137E-2</v>
      </c>
      <c r="AL188" s="14">
        <f>AL186/AL167</f>
        <v>3.3277479439692177E-2</v>
      </c>
      <c r="AM188" s="14">
        <f>AM186/AM167</f>
        <v>3.1598951557714083E-2</v>
      </c>
      <c r="AN188" s="14">
        <f t="shared" ref="AN188:AT188" si="308">AN186/AN167</f>
        <v>3.0198613923572645E-2</v>
      </c>
      <c r="AO188" s="14">
        <f t="shared" si="308"/>
        <v>2.9019937781278642E-2</v>
      </c>
      <c r="AP188" s="14">
        <f t="shared" si="308"/>
        <v>2.8020989625579831E-2</v>
      </c>
      <c r="AQ188" s="14">
        <f t="shared" si="308"/>
        <v>2.7170015634182958E-2</v>
      </c>
      <c r="AR188" s="14">
        <f t="shared" si="308"/>
        <v>2.6442537997119195E-2</v>
      </c>
      <c r="AS188" s="14">
        <f t="shared" si="308"/>
        <v>2.5819391803919439E-2</v>
      </c>
      <c r="AT188" s="14">
        <f t="shared" si="308"/>
        <v>2.5285365261477503E-2</v>
      </c>
      <c r="AU188" s="8" t="s">
        <v>29</v>
      </c>
    </row>
    <row r="189" spans="2:47" ht="7.95" customHeight="1" x14ac:dyDescent="0.3">
      <c r="G189" s="7"/>
      <c r="L189" s="7"/>
      <c r="Q189" s="7"/>
      <c r="V189" s="7"/>
      <c r="AA189" s="7"/>
      <c r="AF189" s="7"/>
      <c r="AK189" s="103"/>
      <c r="AL189" s="7"/>
      <c r="AM189" s="7"/>
      <c r="AN189" s="7"/>
      <c r="AO189" s="7"/>
      <c r="AP189" s="7"/>
      <c r="AQ189" s="7"/>
      <c r="AR189" s="7"/>
      <c r="AS189" s="7"/>
      <c r="AT189" s="7"/>
      <c r="AU189" s="8" t="s">
        <v>29</v>
      </c>
    </row>
    <row r="190" spans="2:47" ht="16.2" customHeight="1" x14ac:dyDescent="0.3">
      <c r="B190" s="20" t="s">
        <v>139</v>
      </c>
      <c r="C190" s="22">
        <f t="shared" ref="C190:AE190" si="309">SUM(C193:C197)</f>
        <v>-23.298999999999999</v>
      </c>
      <c r="D190" s="22">
        <f t="shared" si="309"/>
        <v>-8.8569999999999993</v>
      </c>
      <c r="E190" s="22">
        <f t="shared" si="309"/>
        <v>-25.227000000000004</v>
      </c>
      <c r="F190" s="22">
        <f t="shared" si="309"/>
        <v>-44.220000000000006</v>
      </c>
      <c r="G190" s="23">
        <f>SUM(C190:F190)</f>
        <v>-101.60300000000001</v>
      </c>
      <c r="H190" s="22">
        <f t="shared" si="309"/>
        <v>-26.496000000000002</v>
      </c>
      <c r="I190" s="22">
        <f t="shared" si="309"/>
        <v>-35.024000000000001</v>
      </c>
      <c r="J190" s="22">
        <f t="shared" si="309"/>
        <v>-44.451999999999998</v>
      </c>
      <c r="K190" s="22">
        <f t="shared" si="309"/>
        <v>-56.690000000000005</v>
      </c>
      <c r="L190" s="23">
        <f>SUM(H190:K190)</f>
        <v>-162.66200000000001</v>
      </c>
      <c r="M190" s="22">
        <f t="shared" si="309"/>
        <v>-41.802999999999997</v>
      </c>
      <c r="N190" s="22">
        <f t="shared" si="309"/>
        <v>-46.116</v>
      </c>
      <c r="O190" s="22">
        <f t="shared" si="309"/>
        <v>-48.167000000000002</v>
      </c>
      <c r="P190" s="22">
        <f t="shared" si="309"/>
        <v>-72.586999999999989</v>
      </c>
      <c r="Q190" s="23">
        <f>SUM(M190:P190)</f>
        <v>-208.673</v>
      </c>
      <c r="R190" s="22">
        <f t="shared" si="309"/>
        <v>-54.207999999999998</v>
      </c>
      <c r="S190" s="22">
        <f t="shared" si="309"/>
        <v>-53.145000000000003</v>
      </c>
      <c r="T190" s="22">
        <f t="shared" si="309"/>
        <v>-57.468000000000004</v>
      </c>
      <c r="U190" s="22">
        <f t="shared" si="309"/>
        <v>-81.174000000000007</v>
      </c>
      <c r="V190" s="23">
        <f>SUM(R190:U190)</f>
        <v>-245.99500000000003</v>
      </c>
      <c r="W190" s="22">
        <f t="shared" si="309"/>
        <v>-61.295000000000002</v>
      </c>
      <c r="X190" s="22">
        <f t="shared" si="309"/>
        <v>-66.194000000000003</v>
      </c>
      <c r="Y190" s="22">
        <f t="shared" si="309"/>
        <v>-65.141000000000005</v>
      </c>
      <c r="Z190" s="22">
        <f t="shared" si="309"/>
        <v>-94.881</v>
      </c>
      <c r="AA190" s="23">
        <f>SUM(W190:Z190)</f>
        <v>-287.51099999999997</v>
      </c>
      <c r="AB190" s="22">
        <f t="shared" si="309"/>
        <v>-75.421999999999997</v>
      </c>
      <c r="AC190" s="22">
        <f t="shared" si="309"/>
        <v>-82.638999999999996</v>
      </c>
      <c r="AD190" s="22">
        <f t="shared" si="309"/>
        <v>-91.548000000000002</v>
      </c>
      <c r="AE190" s="22">
        <f t="shared" si="309"/>
        <v>-113.99300000000001</v>
      </c>
      <c r="AF190" s="23">
        <f>SUM(AB190:AE190)</f>
        <v>-363.60199999999998</v>
      </c>
      <c r="AG190" s="22">
        <f>SUM(AG193:AG197)</f>
        <v>-93.786000000000001</v>
      </c>
      <c r="AH190" s="22">
        <f t="shared" ref="AH190:AJ190" si="310">AH191*AH167</f>
        <v>-97.292295473340275</v>
      </c>
      <c r="AI190" s="22">
        <f t="shared" si="310"/>
        <v>-102.7258183876007</v>
      </c>
      <c r="AJ190" s="22">
        <f t="shared" si="310"/>
        <v>-137.20742352332226</v>
      </c>
      <c r="AK190" s="105">
        <f>SUM(AG190:AJ190)</f>
        <v>-431.01153738426331</v>
      </c>
      <c r="AL190" s="23">
        <f>AL191*AL167</f>
        <v>-491.81399761314361</v>
      </c>
      <c r="AM190" s="23">
        <f>AM191*AM167</f>
        <v>-559.37414812445195</v>
      </c>
      <c r="AN190" s="23">
        <f t="shared" ref="AN190:AT190" si="311">AN191*AN167</f>
        <v>-632.13787183320858</v>
      </c>
      <c r="AO190" s="23">
        <f t="shared" si="311"/>
        <v>-710.4378615965561</v>
      </c>
      <c r="AP190" s="23">
        <f t="shared" si="311"/>
        <v>-794.62616566368661</v>
      </c>
      <c r="AQ190" s="23">
        <f t="shared" si="311"/>
        <v>-885.07525323482207</v>
      </c>
      <c r="AR190" s="23">
        <f t="shared" si="311"/>
        <v>-982.17913681634911</v>
      </c>
      <c r="AS190" s="23">
        <f t="shared" si="311"/>
        <v>-1086.3545543549817</v>
      </c>
      <c r="AT190" s="23">
        <f t="shared" si="311"/>
        <v>-1198.0422142908187</v>
      </c>
      <c r="AU190" s="8" t="s">
        <v>29</v>
      </c>
    </row>
    <row r="191" spans="2:47" ht="16.2" customHeight="1" x14ac:dyDescent="0.3">
      <c r="B191" s="24" t="s">
        <v>37</v>
      </c>
      <c r="C191" s="21">
        <f t="shared" ref="C191:AG191" si="312">C190/C167</f>
        <v>-0.29344198289651002</v>
      </c>
      <c r="D191" s="21">
        <f t="shared" si="312"/>
        <v>-0.27430394251912421</v>
      </c>
      <c r="E191" s="21">
        <f t="shared" si="312"/>
        <v>-0.27571697123371519</v>
      </c>
      <c r="F191" s="21">
        <f t="shared" si="312"/>
        <v>-0.26680503683502377</v>
      </c>
      <c r="G191" s="14">
        <f>G190/G167</f>
        <v>-0.27540435266979835</v>
      </c>
      <c r="H191" s="21">
        <f t="shared" si="312"/>
        <v>-0.29371792171512823</v>
      </c>
      <c r="I191" s="21">
        <f t="shared" si="312"/>
        <v>-0.27053289356804644</v>
      </c>
      <c r="J191" s="21">
        <f t="shared" si="312"/>
        <v>-0.26266744665638503</v>
      </c>
      <c r="K191" s="21">
        <f t="shared" si="312"/>
        <v>-0.27209153871628855</v>
      </c>
      <c r="L191" s="14">
        <f>L190/L167</f>
        <v>-0.27234978752758465</v>
      </c>
      <c r="M191" s="21">
        <f t="shared" si="312"/>
        <v>-0.27087288679233057</v>
      </c>
      <c r="N191" s="21">
        <f t="shared" si="312"/>
        <v>-0.25972212053458288</v>
      </c>
      <c r="O191" s="21">
        <f t="shared" si="312"/>
        <v>-0.25852592934508406</v>
      </c>
      <c r="P191" s="21">
        <f t="shared" si="312"/>
        <v>-0.28145514329252919</v>
      </c>
      <c r="Q191" s="14">
        <f>Q190/Q167</f>
        <v>-0.26887420290452635</v>
      </c>
      <c r="R191" s="21">
        <f t="shared" si="312"/>
        <v>-0.27671543354194533</v>
      </c>
      <c r="S191" s="21">
        <f t="shared" si="312"/>
        <v>-0.25437966685812752</v>
      </c>
      <c r="T191" s="21">
        <f t="shared" si="312"/>
        <v>-0.25916138284343354</v>
      </c>
      <c r="U191" s="21">
        <f t="shared" si="312"/>
        <v>-0.26779404924106215</v>
      </c>
      <c r="V191" s="14">
        <f>V190/V167</f>
        <v>-0.26460037539596748</v>
      </c>
      <c r="W191" s="21">
        <f t="shared" si="312"/>
        <v>-0.27434139267587482</v>
      </c>
      <c r="X191" s="21">
        <f t="shared" si="312"/>
        <v>-0.25637112890982044</v>
      </c>
      <c r="Y191" s="21">
        <f t="shared" si="312"/>
        <v>-0.24173210230224582</v>
      </c>
      <c r="Z191" s="21">
        <f t="shared" si="312"/>
        <v>-0.25770835370424694</v>
      </c>
      <c r="AA191" s="14">
        <f>AA190/AA167</f>
        <v>-0.25687367659277921</v>
      </c>
      <c r="AB191" s="21">
        <f t="shared" si="312"/>
        <v>-0.26169294398489978</v>
      </c>
      <c r="AC191" s="21">
        <f t="shared" si="312"/>
        <v>-0.25448526468142768</v>
      </c>
      <c r="AD191" s="21">
        <f t="shared" si="312"/>
        <v>-0.25424561968690035</v>
      </c>
      <c r="AE191" s="21">
        <f t="shared" si="312"/>
        <v>-0.26079446532707701</v>
      </c>
      <c r="AF191" s="14">
        <f>AF190/AF167</f>
        <v>-0.25785291118306747</v>
      </c>
      <c r="AG191" s="21">
        <f t="shared" si="312"/>
        <v>-0.27188761074261331</v>
      </c>
      <c r="AH191" s="26">
        <f>AG191</f>
        <v>-0.27188761074261331</v>
      </c>
      <c r="AI191" s="65">
        <f>AH191</f>
        <v>-0.27188761074261331</v>
      </c>
      <c r="AJ191" s="65">
        <f t="shared" ref="AJ191" si="313">AI191</f>
        <v>-0.27188761074261331</v>
      </c>
      <c r="AK191" s="112">
        <f>AK190/AK167</f>
        <v>-0.27188761074261336</v>
      </c>
      <c r="AL191" s="66">
        <f>AK191</f>
        <v>-0.27188761074261336</v>
      </c>
      <c r="AM191" s="66">
        <f>AL191</f>
        <v>-0.27188761074261336</v>
      </c>
      <c r="AN191" s="66">
        <f t="shared" ref="AN191:AT191" si="314">AM191</f>
        <v>-0.27188761074261336</v>
      </c>
      <c r="AO191" s="66">
        <f t="shared" si="314"/>
        <v>-0.27188761074261336</v>
      </c>
      <c r="AP191" s="66">
        <f t="shared" si="314"/>
        <v>-0.27188761074261336</v>
      </c>
      <c r="AQ191" s="66">
        <f t="shared" si="314"/>
        <v>-0.27188761074261336</v>
      </c>
      <c r="AR191" s="66">
        <f t="shared" si="314"/>
        <v>-0.27188761074261336</v>
      </c>
      <c r="AS191" s="66">
        <f t="shared" si="314"/>
        <v>-0.27188761074261336</v>
      </c>
      <c r="AT191" s="66">
        <f t="shared" si="314"/>
        <v>-0.27188761074261336</v>
      </c>
      <c r="AU191" s="8" t="s">
        <v>29</v>
      </c>
    </row>
    <row r="192" spans="2:47" ht="7.95" customHeight="1" x14ac:dyDescent="0.3">
      <c r="B192" s="20"/>
      <c r="G192" s="7"/>
      <c r="L192" s="7"/>
      <c r="Q192" s="7"/>
      <c r="V192" s="7"/>
      <c r="AA192" s="7"/>
      <c r="AF192" s="7"/>
      <c r="AK192" s="103"/>
      <c r="AL192" s="7"/>
      <c r="AM192" s="7"/>
      <c r="AN192" s="7"/>
      <c r="AO192" s="7"/>
      <c r="AP192" s="7"/>
      <c r="AQ192" s="7"/>
      <c r="AR192" s="7"/>
      <c r="AS192" s="7"/>
      <c r="AT192" s="7"/>
      <c r="AU192" s="8"/>
    </row>
    <row r="193" spans="1:47" ht="16.2" customHeight="1" x14ac:dyDescent="0.3">
      <c r="B193" s="24" t="s">
        <v>140</v>
      </c>
      <c r="C193" s="22">
        <v>-9.9570000000000007</v>
      </c>
      <c r="D193" s="22">
        <v>-4.78</v>
      </c>
      <c r="E193" s="22">
        <v>-12.227</v>
      </c>
      <c r="F193" s="22">
        <v>-21.701000000000001</v>
      </c>
      <c r="G193" s="23">
        <f>SUM(C193:F193)</f>
        <v>-48.665000000000006</v>
      </c>
      <c r="H193" s="22">
        <v>-11.986000000000001</v>
      </c>
      <c r="I193" s="22">
        <v>-15.856999999999999</v>
      </c>
      <c r="J193" s="22">
        <v>-21.077999999999999</v>
      </c>
      <c r="K193" s="22">
        <v>-26.571000000000002</v>
      </c>
      <c r="L193" s="23">
        <f>SUM(H193:K193)</f>
        <v>-75.492000000000004</v>
      </c>
      <c r="M193" s="22">
        <v>-17.478000000000002</v>
      </c>
      <c r="N193" s="22">
        <v>-19.109000000000002</v>
      </c>
      <c r="O193" s="22">
        <v>-21.771000000000001</v>
      </c>
      <c r="P193" s="22">
        <v>-32.085000000000001</v>
      </c>
      <c r="Q193" s="23">
        <f>SUM(M193:P193)</f>
        <v>-90.443000000000012</v>
      </c>
      <c r="R193" s="22">
        <v>-23.254000000000001</v>
      </c>
      <c r="S193" s="22">
        <v>-21.157</v>
      </c>
      <c r="T193" s="22">
        <v>-25.306000000000001</v>
      </c>
      <c r="U193" s="22">
        <v>-35.212000000000003</v>
      </c>
      <c r="V193" s="23">
        <f>SUM(R193:U193)</f>
        <v>-104.929</v>
      </c>
      <c r="W193" s="22">
        <v>-25.327999999999999</v>
      </c>
      <c r="X193" s="22">
        <v>-27.498999999999999</v>
      </c>
      <c r="Y193" s="22">
        <v>-26.324000000000002</v>
      </c>
      <c r="Z193" s="22">
        <v>-40.436999999999998</v>
      </c>
      <c r="AA193" s="23">
        <f>SUM(W193:Z193)</f>
        <v>-119.58799999999999</v>
      </c>
      <c r="AB193" s="22">
        <v>-28.678000000000001</v>
      </c>
      <c r="AC193" s="22">
        <v>-31.879000000000001</v>
      </c>
      <c r="AD193" s="22">
        <v>-34.313000000000002</v>
      </c>
      <c r="AE193" s="22">
        <v>-47.362000000000002</v>
      </c>
      <c r="AF193" s="23">
        <f>SUM(AB193:AE193)</f>
        <v>-142.232</v>
      </c>
      <c r="AG193" s="22">
        <v>-33.603000000000002</v>
      </c>
      <c r="AH193" s="167"/>
      <c r="AI193" s="167"/>
      <c r="AJ193" s="167"/>
      <c r="AK193" s="113">
        <f>SUM(AG193:AJ193)</f>
        <v>-33.603000000000002</v>
      </c>
      <c r="AL193" s="171"/>
      <c r="AM193" s="171"/>
      <c r="AN193" s="171"/>
      <c r="AO193" s="171"/>
      <c r="AP193" s="171"/>
      <c r="AQ193" s="171"/>
      <c r="AR193" s="171"/>
      <c r="AS193" s="171"/>
      <c r="AT193" s="171"/>
      <c r="AU193" s="8" t="s">
        <v>29</v>
      </c>
    </row>
    <row r="194" spans="1:47" ht="16.2" customHeight="1" x14ac:dyDescent="0.3">
      <c r="B194" s="24" t="s">
        <v>141</v>
      </c>
      <c r="C194" s="22">
        <v>-4.3769999999999998</v>
      </c>
      <c r="D194" s="22">
        <v>-1.859</v>
      </c>
      <c r="E194" s="22">
        <v>-5.1440000000000001</v>
      </c>
      <c r="F194" s="22">
        <v>-9.3960000000000008</v>
      </c>
      <c r="G194" s="23">
        <f>SUM(C194:F194)</f>
        <v>-20.776</v>
      </c>
      <c r="H194" s="22">
        <v>-4.8920000000000003</v>
      </c>
      <c r="I194" s="22">
        <v>-7.1909999999999998</v>
      </c>
      <c r="J194" s="22">
        <v>-9.6159999999999997</v>
      </c>
      <c r="K194" s="22">
        <v>-11.622999999999999</v>
      </c>
      <c r="L194" s="23">
        <f>SUM(H194:K194)</f>
        <v>-33.321999999999996</v>
      </c>
      <c r="M194" s="22">
        <v>-9.3490000000000002</v>
      </c>
      <c r="N194" s="22">
        <v>-10.619</v>
      </c>
      <c r="O194" s="22">
        <v>-9.8460000000000001</v>
      </c>
      <c r="P194" s="22">
        <v>-14.478999999999999</v>
      </c>
      <c r="Q194" s="23">
        <f>SUM(M194:P194)</f>
        <v>-44.292999999999999</v>
      </c>
      <c r="R194" s="22">
        <v>-10.055</v>
      </c>
      <c r="S194" s="22">
        <v>-11.01</v>
      </c>
      <c r="T194" s="22">
        <v>-11.621</v>
      </c>
      <c r="U194" s="22">
        <v>-16.143000000000001</v>
      </c>
      <c r="V194" s="23">
        <f>SUM(R194:U194)</f>
        <v>-48.829000000000001</v>
      </c>
      <c r="W194" s="22">
        <v>-11.566000000000001</v>
      </c>
      <c r="X194" s="22">
        <v>-13.391999999999999</v>
      </c>
      <c r="Y194" s="22">
        <v>-14.433</v>
      </c>
      <c r="Z194" s="22">
        <v>-19.747</v>
      </c>
      <c r="AA194" s="23">
        <f>SUM(W194:Z194)</f>
        <v>-59.137999999999998</v>
      </c>
      <c r="AB194" s="22">
        <v>-14.927</v>
      </c>
      <c r="AC194" s="22">
        <v>-18.32</v>
      </c>
      <c r="AD194" s="22">
        <v>-19.742000000000001</v>
      </c>
      <c r="AE194" s="22">
        <v>-24.036999999999999</v>
      </c>
      <c r="AF194" s="23">
        <f>SUM(AB194:AE194)</f>
        <v>-77.02600000000001</v>
      </c>
      <c r="AG194" s="22">
        <v>-19.829999999999998</v>
      </c>
      <c r="AH194" s="167"/>
      <c r="AI194" s="167"/>
      <c r="AJ194" s="167"/>
      <c r="AK194" s="113">
        <f>SUM(AG194:AJ194)</f>
        <v>-19.829999999999998</v>
      </c>
      <c r="AL194" s="171"/>
      <c r="AM194" s="171"/>
      <c r="AN194" s="171"/>
      <c r="AO194" s="171"/>
      <c r="AP194" s="171"/>
      <c r="AQ194" s="171"/>
      <c r="AR194" s="171"/>
      <c r="AS194" s="171"/>
      <c r="AT194" s="171"/>
      <c r="AU194" s="8" t="s">
        <v>29</v>
      </c>
    </row>
    <row r="195" spans="1:47" ht="16.2" customHeight="1" x14ac:dyDescent="0.3">
      <c r="B195" s="24" t="s">
        <v>142</v>
      </c>
      <c r="C195" s="22">
        <v>-0.93899999999999995</v>
      </c>
      <c r="D195" s="22">
        <v>-0.40400000000000003</v>
      </c>
      <c r="E195" s="22">
        <v>-1.117</v>
      </c>
      <c r="F195" s="22">
        <v>-2.0390000000000001</v>
      </c>
      <c r="G195" s="23">
        <f>SUM(C195:F195)</f>
        <v>-4.4990000000000006</v>
      </c>
      <c r="H195" s="22">
        <v>-1.0620000000000001</v>
      </c>
      <c r="I195" s="22">
        <v>-1.5609999999999999</v>
      </c>
      <c r="J195" s="22">
        <v>-2.0870000000000002</v>
      </c>
      <c r="K195" s="22">
        <v>-2.5230000000000001</v>
      </c>
      <c r="L195" s="23">
        <f>SUM(H195:K195)</f>
        <v>-7.2330000000000005</v>
      </c>
      <c r="M195" s="22">
        <v>-2.0289999999999999</v>
      </c>
      <c r="N195" s="22">
        <v>-2.3029999999999999</v>
      </c>
      <c r="O195" s="22">
        <v>-2.1379999999999999</v>
      </c>
      <c r="P195" s="22">
        <v>-3.1429999999999998</v>
      </c>
      <c r="Q195" s="23">
        <f>SUM(M195:P195)</f>
        <v>-9.6129999999999995</v>
      </c>
      <c r="R195" s="22">
        <v>-2.1819999999999999</v>
      </c>
      <c r="S195" s="22">
        <v>-2.39</v>
      </c>
      <c r="T195" s="22">
        <v>-2.5219999999999998</v>
      </c>
      <c r="U195" s="22">
        <v>-3.504</v>
      </c>
      <c r="V195" s="23">
        <f>SUM(R195:U195)</f>
        <v>-10.597999999999999</v>
      </c>
      <c r="W195" s="22">
        <v>-2.5099999999999998</v>
      </c>
      <c r="X195" s="22">
        <v>-2.907</v>
      </c>
      <c r="Y195" s="22">
        <v>-3.1349999999999998</v>
      </c>
      <c r="Z195" s="22">
        <v>-4.2859999999999996</v>
      </c>
      <c r="AA195" s="23">
        <f>SUM(W195:Z195)</f>
        <v>-12.837999999999999</v>
      </c>
      <c r="AB195" s="22">
        <v>-3.24</v>
      </c>
      <c r="AC195" s="22">
        <v>-3.976</v>
      </c>
      <c r="AD195" s="22">
        <v>-4.2160000000000002</v>
      </c>
      <c r="AE195" s="22">
        <v>-5.1760000000000002</v>
      </c>
      <c r="AF195" s="23">
        <f>SUM(AB195:AE195)</f>
        <v>-16.608000000000001</v>
      </c>
      <c r="AG195" s="22">
        <v>-4.2220000000000004</v>
      </c>
      <c r="AH195" s="167"/>
      <c r="AI195" s="167"/>
      <c r="AJ195" s="167"/>
      <c r="AK195" s="113">
        <f>SUM(AG195:AJ195)</f>
        <v>-4.2220000000000004</v>
      </c>
      <c r="AL195" s="171"/>
      <c r="AM195" s="171"/>
      <c r="AN195" s="171"/>
      <c r="AO195" s="171"/>
      <c r="AP195" s="171"/>
      <c r="AQ195" s="171"/>
      <c r="AR195" s="171"/>
      <c r="AS195" s="171"/>
      <c r="AT195" s="171"/>
      <c r="AU195" s="8" t="s">
        <v>29</v>
      </c>
    </row>
    <row r="196" spans="1:47" ht="16.2" customHeight="1" x14ac:dyDescent="0.3">
      <c r="B196" s="24" t="s">
        <v>143</v>
      </c>
      <c r="C196" s="22">
        <v>-0.71</v>
      </c>
      <c r="D196" s="22">
        <v>-0.221</v>
      </c>
      <c r="E196" s="22">
        <v>-0.65700000000000003</v>
      </c>
      <c r="F196" s="22">
        <v>-1.1879999999999999</v>
      </c>
      <c r="G196" s="23">
        <f>SUM(C196:F196)</f>
        <v>-2.7759999999999998</v>
      </c>
      <c r="H196" s="22">
        <v>-0.71499999999999997</v>
      </c>
      <c r="I196" s="22">
        <v>-1.0629999999999999</v>
      </c>
      <c r="J196" s="22">
        <v>-1.304</v>
      </c>
      <c r="K196" s="22">
        <v>-1.65</v>
      </c>
      <c r="L196" s="23">
        <f>SUM(H196:K196)</f>
        <v>-4.7319999999999993</v>
      </c>
      <c r="M196" s="22">
        <v>-0.41199999999999998</v>
      </c>
      <c r="N196" s="22">
        <v>-1.2569999999999999</v>
      </c>
      <c r="O196" s="22">
        <v>-1.234</v>
      </c>
      <c r="P196" s="22">
        <v>-1.675</v>
      </c>
      <c r="Q196" s="23">
        <f>SUM(M196:P196)</f>
        <v>-4.5779999999999994</v>
      </c>
      <c r="R196" s="22">
        <v>-1.3169999999999999</v>
      </c>
      <c r="S196" s="22">
        <v>-1.4319999999999999</v>
      </c>
      <c r="T196" s="22">
        <v>-1.579</v>
      </c>
      <c r="U196" s="22">
        <v>-1.881</v>
      </c>
      <c r="V196" s="23">
        <f>SUM(R196:U196)</f>
        <v>-6.2089999999999996</v>
      </c>
      <c r="W196" s="22">
        <v>-1.5269999999999999</v>
      </c>
      <c r="X196" s="22">
        <v>-1.673</v>
      </c>
      <c r="Y196" s="22">
        <v>-1.738</v>
      </c>
      <c r="Z196" s="22">
        <v>-2.0070000000000001</v>
      </c>
      <c r="AA196" s="23">
        <f>SUM(W196:Z196)</f>
        <v>-6.9450000000000003</v>
      </c>
      <c r="AB196" s="22">
        <v>-1.778</v>
      </c>
      <c r="AC196" s="22">
        <v>-2.0009999999999999</v>
      </c>
      <c r="AD196" s="22">
        <v>-2.109</v>
      </c>
      <c r="AE196" s="22">
        <v>-2.9209999999999998</v>
      </c>
      <c r="AF196" s="23">
        <f>SUM(AB196:AE196)</f>
        <v>-8.8089999999999993</v>
      </c>
      <c r="AG196" s="22">
        <v>-2.2770000000000001</v>
      </c>
      <c r="AH196" s="167"/>
      <c r="AI196" s="167"/>
      <c r="AJ196" s="167"/>
      <c r="AK196" s="113">
        <f>SUM(AG196:AJ196)</f>
        <v>-2.2770000000000001</v>
      </c>
      <c r="AL196" s="171"/>
      <c r="AM196" s="171"/>
      <c r="AN196" s="171"/>
      <c r="AO196" s="171"/>
      <c r="AP196" s="171"/>
      <c r="AQ196" s="171"/>
      <c r="AR196" s="171"/>
      <c r="AS196" s="171"/>
      <c r="AT196" s="171"/>
      <c r="AU196" s="8" t="s">
        <v>29</v>
      </c>
    </row>
    <row r="197" spans="1:47" ht="16.2" customHeight="1" x14ac:dyDescent="0.3">
      <c r="B197" s="24" t="s">
        <v>144</v>
      </c>
      <c r="C197" s="22">
        <v>-7.3159999999999998</v>
      </c>
      <c r="D197" s="22">
        <v>-1.593</v>
      </c>
      <c r="E197" s="22">
        <v>-6.0819999999999999</v>
      </c>
      <c r="F197" s="22">
        <v>-9.8960000000000008</v>
      </c>
      <c r="G197" s="23">
        <f>SUM(C197:F197)</f>
        <v>-24.887</v>
      </c>
      <c r="H197" s="22">
        <v>-7.8410000000000002</v>
      </c>
      <c r="I197" s="22">
        <v>-9.3520000000000003</v>
      </c>
      <c r="J197" s="22">
        <v>-10.367000000000001</v>
      </c>
      <c r="K197" s="22">
        <v>-14.323</v>
      </c>
      <c r="L197" s="23">
        <f>SUM(H197:K197)</f>
        <v>-41.883000000000003</v>
      </c>
      <c r="M197" s="22">
        <v>-12.535</v>
      </c>
      <c r="N197" s="22">
        <v>-12.827999999999999</v>
      </c>
      <c r="O197" s="22">
        <v>-13.178000000000001</v>
      </c>
      <c r="P197" s="22">
        <v>-21.204999999999998</v>
      </c>
      <c r="Q197" s="23">
        <f>SUM(M197:P197)</f>
        <v>-59.745999999999995</v>
      </c>
      <c r="R197" s="22">
        <v>-17.399999999999999</v>
      </c>
      <c r="S197" s="22">
        <v>-17.155999999999999</v>
      </c>
      <c r="T197" s="22">
        <v>-16.440000000000001</v>
      </c>
      <c r="U197" s="22">
        <v>-24.434000000000001</v>
      </c>
      <c r="V197" s="23">
        <f>SUM(R197:U197)</f>
        <v>-75.429999999999993</v>
      </c>
      <c r="W197" s="22">
        <v>-20.364000000000001</v>
      </c>
      <c r="X197" s="22">
        <v>-20.722999999999999</v>
      </c>
      <c r="Y197" s="22">
        <v>-19.510999999999999</v>
      </c>
      <c r="Z197" s="22">
        <v>-28.404</v>
      </c>
      <c r="AA197" s="23">
        <f>SUM(W197:Z197)</f>
        <v>-89.001999999999995</v>
      </c>
      <c r="AB197" s="22">
        <v>-26.798999999999999</v>
      </c>
      <c r="AC197" s="22">
        <v>-26.463000000000001</v>
      </c>
      <c r="AD197" s="22">
        <v>-31.167999999999999</v>
      </c>
      <c r="AE197" s="22">
        <v>-34.497</v>
      </c>
      <c r="AF197" s="23">
        <f>SUM(AB197:AE197)</f>
        <v>-118.92700000000001</v>
      </c>
      <c r="AG197" s="22">
        <f>-33.854</f>
        <v>-33.853999999999999</v>
      </c>
      <c r="AH197" s="167"/>
      <c r="AI197" s="167"/>
      <c r="AJ197" s="167"/>
      <c r="AK197" s="113">
        <f>SUM(AG197:AJ197)</f>
        <v>-33.853999999999999</v>
      </c>
      <c r="AL197" s="171"/>
      <c r="AM197" s="171"/>
      <c r="AN197" s="171"/>
      <c r="AO197" s="171"/>
      <c r="AP197" s="171"/>
      <c r="AQ197" s="171"/>
      <c r="AR197" s="171"/>
      <c r="AS197" s="171"/>
      <c r="AT197" s="171"/>
      <c r="AU197" s="8" t="s">
        <v>29</v>
      </c>
    </row>
    <row r="198" spans="1:47" ht="7.95" customHeight="1" x14ac:dyDescent="0.3">
      <c r="G198" s="7"/>
      <c r="L198" s="7"/>
      <c r="Q198" s="7"/>
      <c r="V198" s="7"/>
      <c r="AA198" s="7"/>
      <c r="AF198" s="7"/>
      <c r="AK198" s="103"/>
      <c r="AL198" s="7"/>
      <c r="AM198" s="7"/>
      <c r="AN198" s="7"/>
      <c r="AO198" s="7"/>
      <c r="AP198" s="7"/>
      <c r="AQ198" s="7"/>
      <c r="AR198" s="7"/>
      <c r="AS198" s="7"/>
      <c r="AT198" s="7"/>
      <c r="AU198" s="8" t="s">
        <v>29</v>
      </c>
    </row>
    <row r="199" spans="1:47" ht="16.2" customHeight="1" x14ac:dyDescent="0.3">
      <c r="B199" s="5" t="s">
        <v>38</v>
      </c>
      <c r="C199" s="18">
        <f t="shared" ref="C199:AJ199" si="315">C167+C190</f>
        <v>56.1</v>
      </c>
      <c r="D199" s="18">
        <f t="shared" si="315"/>
        <v>23.431999999999995</v>
      </c>
      <c r="E199" s="18">
        <f t="shared" si="315"/>
        <v>66.268999999999991</v>
      </c>
      <c r="F199" s="18">
        <f t="shared" si="315"/>
        <v>121.51900000000001</v>
      </c>
      <c r="G199" s="19">
        <f>SUM(C199:F199)</f>
        <v>267.32</v>
      </c>
      <c r="H199" s="18">
        <f t="shared" si="315"/>
        <v>63.713000000000001</v>
      </c>
      <c r="I199" s="18">
        <f t="shared" si="315"/>
        <v>94.439000000000021</v>
      </c>
      <c r="J199" s="18">
        <f t="shared" si="315"/>
        <v>124.78099999999998</v>
      </c>
      <c r="K199" s="18">
        <f t="shared" si="315"/>
        <v>151.65899999999999</v>
      </c>
      <c r="L199" s="19">
        <f>SUM(H199:K199)</f>
        <v>434.59199999999998</v>
      </c>
      <c r="M199" s="18">
        <f t="shared" si="315"/>
        <v>112.524</v>
      </c>
      <c r="N199" s="18">
        <f t="shared" si="315"/>
        <v>131.44299999999998</v>
      </c>
      <c r="O199" s="18">
        <f t="shared" si="315"/>
        <v>138.14700000000002</v>
      </c>
      <c r="P199" s="18">
        <f t="shared" si="315"/>
        <v>185.31200000000001</v>
      </c>
      <c r="Q199" s="19">
        <f>SUM(M199:P199)</f>
        <v>567.42600000000004</v>
      </c>
      <c r="R199" s="18">
        <f t="shared" si="315"/>
        <v>141.68999999999997</v>
      </c>
      <c r="S199" s="18">
        <f t="shared" si="315"/>
        <v>155.77499999999998</v>
      </c>
      <c r="T199" s="18">
        <f t="shared" si="315"/>
        <v>164.27799999999996</v>
      </c>
      <c r="U199" s="18">
        <f t="shared" si="315"/>
        <v>221.94700000000003</v>
      </c>
      <c r="V199" s="19">
        <f>SUM(R199:U199)</f>
        <v>683.68999999999994</v>
      </c>
      <c r="W199" s="18">
        <f t="shared" si="315"/>
        <v>162.13099999999997</v>
      </c>
      <c r="X199" s="18">
        <f t="shared" si="315"/>
        <v>192.00200000000001</v>
      </c>
      <c r="Y199" s="18">
        <f t="shared" si="315"/>
        <v>204.33500000000004</v>
      </c>
      <c r="Z199" s="18">
        <f t="shared" si="315"/>
        <v>273.29099999999994</v>
      </c>
      <c r="AA199" s="19">
        <f>SUM(W199:Z199)</f>
        <v>831.75900000000001</v>
      </c>
      <c r="AB199" s="18">
        <f t="shared" si="315"/>
        <v>212.78600000000003</v>
      </c>
      <c r="AC199" s="18">
        <f t="shared" si="315"/>
        <v>242.09099999999995</v>
      </c>
      <c r="AD199" s="18">
        <f t="shared" si="315"/>
        <v>268.52899999999994</v>
      </c>
      <c r="AE199" s="18">
        <f t="shared" si="315"/>
        <v>323.10599999999994</v>
      </c>
      <c r="AF199" s="19">
        <f>SUM(AB199:AE199)</f>
        <v>1046.5119999999999</v>
      </c>
      <c r="AG199" s="18">
        <f t="shared" si="315"/>
        <v>251.15800000000002</v>
      </c>
      <c r="AH199" s="18">
        <f t="shared" si="315"/>
        <v>260.5478253310003</v>
      </c>
      <c r="AI199" s="18">
        <f t="shared" si="315"/>
        <v>275.09874709010955</v>
      </c>
      <c r="AJ199" s="18">
        <f t="shared" si="315"/>
        <v>367.44015180592601</v>
      </c>
      <c r="AK199" s="110">
        <f>SUM(AG199:AJ199)</f>
        <v>1154.2447242270359</v>
      </c>
      <c r="AL199" s="19">
        <f>AL167+AL190</f>
        <v>1317.0731240539301</v>
      </c>
      <c r="AM199" s="19">
        <f>AM167+AM190</f>
        <v>1497.9985530318072</v>
      </c>
      <c r="AN199" s="19">
        <f t="shared" ref="AN199:AT199" si="316">AN167+AN190</f>
        <v>1692.8591006534552</v>
      </c>
      <c r="AO199" s="19">
        <f t="shared" si="316"/>
        <v>1902.5457151692981</v>
      </c>
      <c r="AP199" s="19">
        <f t="shared" si="316"/>
        <v>2128.0011783822761</v>
      </c>
      <c r="AQ199" s="19">
        <f t="shared" si="316"/>
        <v>2370.22295920448</v>
      </c>
      <c r="AR199" s="19">
        <f t="shared" si="316"/>
        <v>2630.266219313336</v>
      </c>
      <c r="AS199" s="19">
        <f t="shared" si="316"/>
        <v>2909.2469788954472</v>
      </c>
      <c r="AT199" s="19">
        <f t="shared" si="316"/>
        <v>3208.3454508866284</v>
      </c>
      <c r="AU199" s="8" t="s">
        <v>29</v>
      </c>
    </row>
    <row r="200" spans="1:47" ht="16.2" customHeight="1" x14ac:dyDescent="0.3">
      <c r="B200" s="20" t="s">
        <v>56</v>
      </c>
      <c r="G200" s="7"/>
      <c r="H200" s="21">
        <f t="shared" ref="H200:K200" si="317">H199/C199-1</f>
        <v>0.13570409982174692</v>
      </c>
      <c r="I200" s="21">
        <f t="shared" si="317"/>
        <v>3.0303431205189506</v>
      </c>
      <c r="J200" s="21">
        <f t="shared" si="317"/>
        <v>0.88294677752795425</v>
      </c>
      <c r="K200" s="21">
        <f t="shared" si="317"/>
        <v>0.24802705749718146</v>
      </c>
      <c r="L200" s="14">
        <f>L199/SUM(C199:F199)-1</f>
        <v>0.62573694448600925</v>
      </c>
      <c r="M200" s="21">
        <f t="shared" ref="M200:P200" si="318">M199/H199-1</f>
        <v>0.76610738781724286</v>
      </c>
      <c r="N200" s="21">
        <f t="shared" si="318"/>
        <v>0.39182964665021824</v>
      </c>
      <c r="O200" s="21">
        <f t="shared" si="318"/>
        <v>0.10711566664796757</v>
      </c>
      <c r="P200" s="21">
        <f t="shared" si="318"/>
        <v>0.22189912896695896</v>
      </c>
      <c r="Q200" s="14">
        <f>Q199/SUM(H199:K199)-1</f>
        <v>0.30565219792356979</v>
      </c>
      <c r="R200" s="21">
        <f t="shared" ref="R200:U200" si="319">R199/M199-1</f>
        <v>0.25919803775194605</v>
      </c>
      <c r="S200" s="21">
        <f t="shared" si="319"/>
        <v>0.18511446026034095</v>
      </c>
      <c r="T200" s="21">
        <f t="shared" si="319"/>
        <v>0.18915358277776528</v>
      </c>
      <c r="U200" s="21">
        <f t="shared" si="319"/>
        <v>0.19769361940942853</v>
      </c>
      <c r="V200" s="14">
        <f>V199/SUM(M199:P199)-1</f>
        <v>0.20489720245459297</v>
      </c>
      <c r="W200" s="21">
        <f t="shared" ref="W200:Z200" si="320">W199/R199-1</f>
        <v>0.14426565036346961</v>
      </c>
      <c r="X200" s="21">
        <f t="shared" si="320"/>
        <v>0.23255978173647907</v>
      </c>
      <c r="Y200" s="21">
        <f t="shared" si="320"/>
        <v>0.24383666711306495</v>
      </c>
      <c r="Z200" s="21">
        <f t="shared" si="320"/>
        <v>0.23133450778789477</v>
      </c>
      <c r="AA200" s="14">
        <f>AA199/SUM(R199:U199)-1</f>
        <v>0.21657330076496661</v>
      </c>
      <c r="AB200" s="21">
        <f t="shared" ref="AB200:AE200" si="321">AB199/W199-1</f>
        <v>0.31243253911960123</v>
      </c>
      <c r="AC200" s="21">
        <f t="shared" si="321"/>
        <v>0.26087749085946998</v>
      </c>
      <c r="AD200" s="21">
        <f t="shared" si="321"/>
        <v>0.31416056965277561</v>
      </c>
      <c r="AE200" s="21">
        <f t="shared" si="321"/>
        <v>0.18227823089673656</v>
      </c>
      <c r="AF200" s="14">
        <f>AF199/SUM(W199:Z199)-1</f>
        <v>0.25819137514592549</v>
      </c>
      <c r="AG200" s="21">
        <f t="shared" ref="AG200:AJ200" si="322">AG199/AB199-1</f>
        <v>0.18033141278091591</v>
      </c>
      <c r="AH200" s="21">
        <f t="shared" si="322"/>
        <v>7.6239204807284633E-2</v>
      </c>
      <c r="AI200" s="21">
        <f t="shared" si="322"/>
        <v>2.4465689330052331E-2</v>
      </c>
      <c r="AJ200" s="21">
        <f t="shared" si="322"/>
        <v>0.13721240647318855</v>
      </c>
      <c r="AK200" s="111">
        <f>AK199/SUM(AB199:AE199)-1</f>
        <v>0.10294456654776618</v>
      </c>
      <c r="AL200" s="14">
        <f>AL199/AK199-1</f>
        <v>0.14106921730652533</v>
      </c>
      <c r="AM200" s="14">
        <f>AM199/AL199-1</f>
        <v>0.13736931205534852</v>
      </c>
      <c r="AN200" s="14">
        <f t="shared" ref="AN200:AT200" si="323">AN199/AM199-1</f>
        <v>0.13008059802679295</v>
      </c>
      <c r="AO200" s="14">
        <f t="shared" si="323"/>
        <v>0.12386536743365251</v>
      </c>
      <c r="AP200" s="14">
        <f t="shared" si="323"/>
        <v>0.11850199520326155</v>
      </c>
      <c r="AQ200" s="14">
        <f t="shared" si="323"/>
        <v>0.11382596179121629</v>
      </c>
      <c r="AR200" s="14">
        <f t="shared" si="323"/>
        <v>0.10971257328303596</v>
      </c>
      <c r="AS200" s="14">
        <f t="shared" si="323"/>
        <v>0.1060655980499734</v>
      </c>
      <c r="AT200" s="14">
        <f t="shared" si="323"/>
        <v>0.10280958411607255</v>
      </c>
      <c r="AU200" s="8" t="s">
        <v>29</v>
      </c>
    </row>
    <row r="201" spans="1:47" ht="7.95" customHeight="1" x14ac:dyDescent="0.3">
      <c r="G201" s="7"/>
      <c r="L201" s="7"/>
      <c r="Q201" s="7"/>
      <c r="V201" s="7"/>
      <c r="AA201" s="7"/>
      <c r="AF201" s="7"/>
      <c r="AK201" s="103"/>
      <c r="AL201" s="7"/>
      <c r="AM201" s="7"/>
      <c r="AN201" s="7"/>
      <c r="AO201" s="7"/>
      <c r="AP201" s="7"/>
      <c r="AQ201" s="7"/>
      <c r="AR201" s="7"/>
      <c r="AS201" s="7"/>
      <c r="AT201" s="7"/>
      <c r="AU201" s="8" t="s">
        <v>29</v>
      </c>
    </row>
    <row r="202" spans="1:47" ht="16.2" customHeight="1" x14ac:dyDescent="0.3">
      <c r="B202" s="41" t="s">
        <v>145</v>
      </c>
      <c r="C202" s="37" t="str">
        <f t="shared" ref="C202:AJ202" si="324">IF(ABS(C16-C199)&gt;0.1,"Erro","Ok")</f>
        <v>Ok</v>
      </c>
      <c r="D202" s="37" t="str">
        <f t="shared" si="324"/>
        <v>Ok</v>
      </c>
      <c r="E202" s="37" t="str">
        <f t="shared" si="324"/>
        <v>Ok</v>
      </c>
      <c r="F202" s="37" t="str">
        <f t="shared" si="324"/>
        <v>Ok</v>
      </c>
      <c r="G202" s="38" t="str">
        <f>IF(ABS(G16-G199)&gt;0.1,"Erro","Ok")</f>
        <v>Ok</v>
      </c>
      <c r="H202" s="37" t="str">
        <f t="shared" si="324"/>
        <v>Ok</v>
      </c>
      <c r="I202" s="37" t="str">
        <f t="shared" si="324"/>
        <v>Ok</v>
      </c>
      <c r="J202" s="37" t="str">
        <f t="shared" si="324"/>
        <v>Ok</v>
      </c>
      <c r="K202" s="37" t="str">
        <f t="shared" si="324"/>
        <v>Ok</v>
      </c>
      <c r="L202" s="38" t="str">
        <f>IF(ABS(L16-L199)&gt;0.1,"Erro","Ok")</f>
        <v>Ok</v>
      </c>
      <c r="M202" s="37" t="str">
        <f t="shared" si="324"/>
        <v>Ok</v>
      </c>
      <c r="N202" s="37" t="str">
        <f t="shared" si="324"/>
        <v>Ok</v>
      </c>
      <c r="O202" s="37" t="str">
        <f t="shared" si="324"/>
        <v>Ok</v>
      </c>
      <c r="P202" s="37" t="str">
        <f t="shared" si="324"/>
        <v>Ok</v>
      </c>
      <c r="Q202" s="38" t="str">
        <f>IF(ABS(Q16-Q199)&gt;0.1,"Erro","Ok")</f>
        <v>Ok</v>
      </c>
      <c r="R202" s="37" t="str">
        <f t="shared" si="324"/>
        <v>Ok</v>
      </c>
      <c r="S202" s="37" t="str">
        <f t="shared" si="324"/>
        <v>Ok</v>
      </c>
      <c r="T202" s="37" t="str">
        <f t="shared" si="324"/>
        <v>Ok</v>
      </c>
      <c r="U202" s="37" t="str">
        <f t="shared" si="324"/>
        <v>Ok</v>
      </c>
      <c r="V202" s="38" t="str">
        <f>IF(ABS(V16-V199)&gt;0.1,"Erro","Ok")</f>
        <v>Ok</v>
      </c>
      <c r="W202" s="37" t="str">
        <f t="shared" si="324"/>
        <v>Ok</v>
      </c>
      <c r="X202" s="37" t="str">
        <f t="shared" si="324"/>
        <v>Ok</v>
      </c>
      <c r="Y202" s="37" t="str">
        <f t="shared" si="324"/>
        <v>Ok</v>
      </c>
      <c r="Z202" s="37" t="str">
        <f t="shared" si="324"/>
        <v>Ok</v>
      </c>
      <c r="AA202" s="38" t="str">
        <f>IF(ABS(AA16-AA199)&gt;0.1,"Erro","Ok")</f>
        <v>Ok</v>
      </c>
      <c r="AB202" s="37" t="str">
        <f t="shared" si="324"/>
        <v>Ok</v>
      </c>
      <c r="AC202" s="37" t="str">
        <f t="shared" si="324"/>
        <v>Ok</v>
      </c>
      <c r="AD202" s="37" t="str">
        <f t="shared" si="324"/>
        <v>Ok</v>
      </c>
      <c r="AE202" s="37" t="str">
        <f t="shared" si="324"/>
        <v>Ok</v>
      </c>
      <c r="AF202" s="38" t="str">
        <f>IF(ABS(AF16-AF199)&gt;0.1,"Erro","Ok")</f>
        <v>Ok</v>
      </c>
      <c r="AG202" s="37" t="str">
        <f t="shared" si="324"/>
        <v>Ok</v>
      </c>
      <c r="AH202" s="37" t="str">
        <f t="shared" si="324"/>
        <v>Ok</v>
      </c>
      <c r="AI202" s="37" t="str">
        <f t="shared" si="324"/>
        <v>Ok</v>
      </c>
      <c r="AJ202" s="37" t="str">
        <f t="shared" si="324"/>
        <v>Ok</v>
      </c>
      <c r="AK202" s="114" t="str">
        <f>IF(ABS(AK16-AK199)&gt;0.1,"Erro","Ok")</f>
        <v>Ok</v>
      </c>
      <c r="AL202" s="38" t="str">
        <f>IF(ABS(AL16-AL199)&gt;0.1,"Erro","Ok")</f>
        <v>Ok</v>
      </c>
      <c r="AM202" s="38" t="str">
        <f>IF(ABS(AM16-AM199)&gt;0.1,"Erro","Ok")</f>
        <v>Ok</v>
      </c>
      <c r="AN202" s="38" t="str">
        <f t="shared" ref="AN202:AT202" si="325">IF(ABS(AN16-AN199)&gt;0.1,"Erro","Ok")</f>
        <v>Ok</v>
      </c>
      <c r="AO202" s="38" t="str">
        <f t="shared" si="325"/>
        <v>Ok</v>
      </c>
      <c r="AP202" s="38" t="str">
        <f t="shared" si="325"/>
        <v>Ok</v>
      </c>
      <c r="AQ202" s="38" t="str">
        <f t="shared" si="325"/>
        <v>Ok</v>
      </c>
      <c r="AR202" s="38" t="str">
        <f t="shared" si="325"/>
        <v>Ok</v>
      </c>
      <c r="AS202" s="38" t="str">
        <f t="shared" si="325"/>
        <v>Ok</v>
      </c>
      <c r="AT202" s="38" t="str">
        <f t="shared" si="325"/>
        <v>Ok</v>
      </c>
      <c r="AU202" s="8" t="s">
        <v>29</v>
      </c>
    </row>
    <row r="203" spans="1:47" ht="7.95" customHeight="1" x14ac:dyDescent="0.3">
      <c r="G203" s="7"/>
      <c r="L203" s="7"/>
      <c r="Q203" s="7"/>
      <c r="V203" s="7"/>
      <c r="AA203" s="7"/>
      <c r="AF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8" t="s">
        <v>29</v>
      </c>
    </row>
    <row r="204" spans="1:47" ht="16.2" customHeight="1" x14ac:dyDescent="0.3">
      <c r="A204" s="2" t="s">
        <v>30</v>
      </c>
      <c r="B204" s="58" t="s">
        <v>146</v>
      </c>
      <c r="C204" s="59"/>
      <c r="D204" s="59"/>
      <c r="E204" s="59"/>
      <c r="F204" s="59"/>
      <c r="G204" s="60"/>
      <c r="H204" s="59"/>
      <c r="I204" s="59"/>
      <c r="J204" s="59"/>
      <c r="K204" s="59"/>
      <c r="L204" s="60"/>
      <c r="M204" s="59"/>
      <c r="N204" s="59"/>
      <c r="O204" s="59"/>
      <c r="P204" s="59"/>
      <c r="Q204" s="60"/>
      <c r="R204" s="59"/>
      <c r="S204" s="59"/>
      <c r="T204" s="59"/>
      <c r="U204" s="59"/>
      <c r="V204" s="60"/>
      <c r="W204" s="59"/>
      <c r="X204" s="59"/>
      <c r="Y204" s="59"/>
      <c r="Z204" s="59"/>
      <c r="AA204" s="60"/>
      <c r="AB204" s="59"/>
      <c r="AC204" s="59"/>
      <c r="AD204" s="59"/>
      <c r="AE204" s="59"/>
      <c r="AF204" s="60"/>
      <c r="AG204" s="59"/>
      <c r="AH204" s="59"/>
      <c r="AI204" s="59"/>
      <c r="AJ204" s="59"/>
      <c r="AK204" s="60"/>
      <c r="AL204" s="60"/>
      <c r="AM204" s="60"/>
      <c r="AN204" s="60"/>
      <c r="AO204" s="60"/>
      <c r="AP204" s="60"/>
      <c r="AQ204" s="60"/>
      <c r="AR204" s="60"/>
      <c r="AS204" s="60"/>
      <c r="AT204" s="60"/>
      <c r="AU204" s="8" t="s">
        <v>29</v>
      </c>
    </row>
    <row r="205" spans="1:47" ht="7.95" customHeight="1" x14ac:dyDescent="0.3">
      <c r="G205" s="7"/>
      <c r="L205" s="7"/>
      <c r="Q205" s="7"/>
      <c r="V205" s="7"/>
      <c r="AA205" s="7"/>
      <c r="AF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8" t="s">
        <v>29</v>
      </c>
    </row>
    <row r="206" spans="1:47" ht="16.2" customHeight="1" x14ac:dyDescent="0.3">
      <c r="B206" s="5" t="s">
        <v>147</v>
      </c>
      <c r="C206" s="67">
        <f t="shared" ref="C206:K206" si="326">C207+C208</f>
        <v>233</v>
      </c>
      <c r="D206" s="67">
        <f t="shared" si="326"/>
        <v>235</v>
      </c>
      <c r="E206" s="67">
        <f t="shared" si="326"/>
        <v>237</v>
      </c>
      <c r="F206" s="67">
        <f t="shared" si="326"/>
        <v>262</v>
      </c>
      <c r="G206" s="68">
        <f>F206</f>
        <v>262</v>
      </c>
      <c r="H206" s="67">
        <f t="shared" si="326"/>
        <v>262</v>
      </c>
      <c r="I206" s="67">
        <f t="shared" si="326"/>
        <v>268</v>
      </c>
      <c r="J206" s="67">
        <f t="shared" si="326"/>
        <v>280</v>
      </c>
      <c r="K206" s="67">
        <f t="shared" si="326"/>
        <v>298</v>
      </c>
      <c r="L206" s="68">
        <f>K206</f>
        <v>298</v>
      </c>
      <c r="M206" s="67">
        <f>M207+M208</f>
        <v>300</v>
      </c>
      <c r="N206" s="67">
        <f t="shared" ref="N206:AJ206" si="327">N207+N208</f>
        <v>310</v>
      </c>
      <c r="O206" s="67">
        <f t="shared" si="327"/>
        <v>315</v>
      </c>
      <c r="P206" s="67">
        <f t="shared" si="327"/>
        <v>331</v>
      </c>
      <c r="Q206" s="68">
        <f>P206</f>
        <v>331</v>
      </c>
      <c r="R206" s="67">
        <f t="shared" si="327"/>
        <v>334</v>
      </c>
      <c r="S206" s="67">
        <f t="shared" si="327"/>
        <v>339</v>
      </c>
      <c r="T206" s="67">
        <f t="shared" si="327"/>
        <v>343</v>
      </c>
      <c r="U206" s="67">
        <f t="shared" si="327"/>
        <v>359</v>
      </c>
      <c r="V206" s="68">
        <f>U206</f>
        <v>359</v>
      </c>
      <c r="W206" s="67">
        <f t="shared" si="327"/>
        <v>361</v>
      </c>
      <c r="X206" s="67">
        <f t="shared" si="327"/>
        <v>374</v>
      </c>
      <c r="Y206" s="67">
        <f t="shared" si="327"/>
        <v>381</v>
      </c>
      <c r="Z206" s="67">
        <f t="shared" si="327"/>
        <v>398</v>
      </c>
      <c r="AA206" s="68">
        <f>Z206</f>
        <v>398</v>
      </c>
      <c r="AB206" s="67">
        <f t="shared" si="327"/>
        <v>402</v>
      </c>
      <c r="AC206" s="67">
        <f t="shared" si="327"/>
        <v>406</v>
      </c>
      <c r="AD206" s="67">
        <f t="shared" si="327"/>
        <v>417</v>
      </c>
      <c r="AE206" s="67">
        <f t="shared" si="327"/>
        <v>435</v>
      </c>
      <c r="AF206" s="68">
        <f>AE206</f>
        <v>435</v>
      </c>
      <c r="AG206" s="67">
        <f t="shared" si="327"/>
        <v>441</v>
      </c>
      <c r="AH206" s="67">
        <f t="shared" si="327"/>
        <v>453</v>
      </c>
      <c r="AI206" s="67">
        <f t="shared" si="327"/>
        <v>465</v>
      </c>
      <c r="AJ206" s="67">
        <f t="shared" si="327"/>
        <v>477</v>
      </c>
      <c r="AK206" s="115">
        <f>AJ206</f>
        <v>477</v>
      </c>
      <c r="AL206" s="68">
        <f>AL207+AL208</f>
        <v>519</v>
      </c>
      <c r="AM206" s="68">
        <f>AM207+AM208</f>
        <v>561</v>
      </c>
      <c r="AN206" s="68">
        <f t="shared" ref="AN206:AT206" si="328">AN207+AN208</f>
        <v>603</v>
      </c>
      <c r="AO206" s="68">
        <f t="shared" si="328"/>
        <v>645</v>
      </c>
      <c r="AP206" s="68">
        <f t="shared" si="328"/>
        <v>687</v>
      </c>
      <c r="AQ206" s="68">
        <f t="shared" si="328"/>
        <v>729</v>
      </c>
      <c r="AR206" s="68">
        <f t="shared" si="328"/>
        <v>771</v>
      </c>
      <c r="AS206" s="68">
        <f t="shared" si="328"/>
        <v>813</v>
      </c>
      <c r="AT206" s="68">
        <f t="shared" si="328"/>
        <v>855</v>
      </c>
      <c r="AU206" s="8" t="s">
        <v>29</v>
      </c>
    </row>
    <row r="207" spans="1:47" ht="16.2" customHeight="1" x14ac:dyDescent="0.3">
      <c r="B207" s="20" t="s">
        <v>148</v>
      </c>
      <c r="C207" s="202">
        <v>36</v>
      </c>
      <c r="D207" s="202">
        <v>37</v>
      </c>
      <c r="E207" s="202">
        <v>36</v>
      </c>
      <c r="F207" s="202">
        <v>39</v>
      </c>
      <c r="G207" s="70">
        <f>F207</f>
        <v>39</v>
      </c>
      <c r="H207" s="202">
        <v>39</v>
      </c>
      <c r="I207" s="202">
        <v>40</v>
      </c>
      <c r="J207" s="202">
        <v>41</v>
      </c>
      <c r="K207" s="202">
        <v>41</v>
      </c>
      <c r="L207" s="70">
        <f>K207</f>
        <v>41</v>
      </c>
      <c r="M207" s="202">
        <v>41</v>
      </c>
      <c r="N207" s="202">
        <v>42</v>
      </c>
      <c r="O207" s="202">
        <v>42</v>
      </c>
      <c r="P207" s="202">
        <v>44</v>
      </c>
      <c r="Q207" s="70">
        <f>P207</f>
        <v>44</v>
      </c>
      <c r="R207" s="202">
        <v>44</v>
      </c>
      <c r="S207" s="202">
        <v>44</v>
      </c>
      <c r="T207" s="202">
        <v>45</v>
      </c>
      <c r="U207" s="202">
        <v>46</v>
      </c>
      <c r="V207" s="70">
        <f>U207</f>
        <v>46</v>
      </c>
      <c r="W207" s="202">
        <v>48</v>
      </c>
      <c r="X207" s="202">
        <v>51</v>
      </c>
      <c r="Y207" s="202">
        <v>52</v>
      </c>
      <c r="Z207" s="202">
        <v>53</v>
      </c>
      <c r="AA207" s="70">
        <f>Z207</f>
        <v>53</v>
      </c>
      <c r="AB207" s="202">
        <v>53</v>
      </c>
      <c r="AC207" s="202">
        <v>54</v>
      </c>
      <c r="AD207" s="202">
        <v>55</v>
      </c>
      <c r="AE207" s="202">
        <v>56</v>
      </c>
      <c r="AF207" s="70">
        <f>AE207</f>
        <v>56</v>
      </c>
      <c r="AG207" s="202">
        <v>56</v>
      </c>
      <c r="AH207" s="69">
        <f>AG207+AH211</f>
        <v>58</v>
      </c>
      <c r="AI207" s="69">
        <f t="shared" ref="AI207:AJ208" si="329">AH207+AI211</f>
        <v>60</v>
      </c>
      <c r="AJ207" s="69">
        <f t="shared" si="329"/>
        <v>62</v>
      </c>
      <c r="AK207" s="116">
        <f>AJ207</f>
        <v>62</v>
      </c>
      <c r="AL207" s="70">
        <f>AK207+AL211</f>
        <v>68</v>
      </c>
      <c r="AM207" s="70">
        <f>AL207+AM211</f>
        <v>74</v>
      </c>
      <c r="AN207" s="70">
        <f t="shared" ref="AN207:AT207" si="330">AM207+AN211</f>
        <v>80</v>
      </c>
      <c r="AO207" s="70">
        <f t="shared" si="330"/>
        <v>86</v>
      </c>
      <c r="AP207" s="70">
        <f t="shared" si="330"/>
        <v>92</v>
      </c>
      <c r="AQ207" s="70">
        <f t="shared" si="330"/>
        <v>98</v>
      </c>
      <c r="AR207" s="70">
        <f t="shared" si="330"/>
        <v>104</v>
      </c>
      <c r="AS207" s="70">
        <f t="shared" si="330"/>
        <v>110</v>
      </c>
      <c r="AT207" s="70">
        <f t="shared" si="330"/>
        <v>116</v>
      </c>
      <c r="AU207" s="8" t="s">
        <v>29</v>
      </c>
    </row>
    <row r="208" spans="1:47" ht="16.2" customHeight="1" x14ac:dyDescent="0.3">
      <c r="B208" s="20" t="s">
        <v>149</v>
      </c>
      <c r="C208" s="202">
        <v>197</v>
      </c>
      <c r="D208" s="202">
        <v>198</v>
      </c>
      <c r="E208" s="202">
        <v>201</v>
      </c>
      <c r="F208" s="202">
        <v>223</v>
      </c>
      <c r="G208" s="70">
        <f>F208</f>
        <v>223</v>
      </c>
      <c r="H208" s="202">
        <v>223</v>
      </c>
      <c r="I208" s="202">
        <v>228</v>
      </c>
      <c r="J208" s="202">
        <v>239</v>
      </c>
      <c r="K208" s="202">
        <v>257</v>
      </c>
      <c r="L208" s="70">
        <f>K208</f>
        <v>257</v>
      </c>
      <c r="M208" s="202">
        <v>259</v>
      </c>
      <c r="N208" s="202">
        <v>268</v>
      </c>
      <c r="O208" s="202">
        <v>273</v>
      </c>
      <c r="P208" s="202">
        <v>287</v>
      </c>
      <c r="Q208" s="70">
        <f>P208</f>
        <v>287</v>
      </c>
      <c r="R208" s="202">
        <v>290</v>
      </c>
      <c r="S208" s="202">
        <v>295</v>
      </c>
      <c r="T208" s="202">
        <v>298</v>
      </c>
      <c r="U208" s="202">
        <v>313</v>
      </c>
      <c r="V208" s="70">
        <f>U208</f>
        <v>313</v>
      </c>
      <c r="W208" s="202">
        <v>313</v>
      </c>
      <c r="X208" s="202">
        <v>323</v>
      </c>
      <c r="Y208" s="202">
        <v>329</v>
      </c>
      <c r="Z208" s="202">
        <v>345</v>
      </c>
      <c r="AA208" s="70">
        <f>Z208</f>
        <v>345</v>
      </c>
      <c r="AB208" s="202">
        <v>349</v>
      </c>
      <c r="AC208" s="202">
        <v>352</v>
      </c>
      <c r="AD208" s="202">
        <v>362</v>
      </c>
      <c r="AE208" s="202">
        <v>379</v>
      </c>
      <c r="AF208" s="70">
        <f>AE208</f>
        <v>379</v>
      </c>
      <c r="AG208" s="202">
        <v>385</v>
      </c>
      <c r="AH208" s="69">
        <f>AG208+AH212</f>
        <v>395</v>
      </c>
      <c r="AI208" s="69">
        <f t="shared" si="329"/>
        <v>405</v>
      </c>
      <c r="AJ208" s="69">
        <f t="shared" si="329"/>
        <v>415</v>
      </c>
      <c r="AK208" s="116">
        <f>AJ208</f>
        <v>415</v>
      </c>
      <c r="AL208" s="70">
        <f>AK208+AL212</f>
        <v>451</v>
      </c>
      <c r="AM208" s="70">
        <f>AL208+AM212</f>
        <v>487</v>
      </c>
      <c r="AN208" s="70">
        <f t="shared" ref="AN208:AT208" si="331">AM208+AN212</f>
        <v>523</v>
      </c>
      <c r="AO208" s="70">
        <f t="shared" si="331"/>
        <v>559</v>
      </c>
      <c r="AP208" s="70">
        <f t="shared" si="331"/>
        <v>595</v>
      </c>
      <c r="AQ208" s="70">
        <f t="shared" si="331"/>
        <v>631</v>
      </c>
      <c r="AR208" s="70">
        <f t="shared" si="331"/>
        <v>667</v>
      </c>
      <c r="AS208" s="70">
        <f t="shared" si="331"/>
        <v>703</v>
      </c>
      <c r="AT208" s="70">
        <f t="shared" si="331"/>
        <v>739</v>
      </c>
      <c r="AU208" s="8" t="s">
        <v>29</v>
      </c>
    </row>
    <row r="209" spans="2:47" ht="7.95" customHeight="1" x14ac:dyDescent="0.3">
      <c r="C209" s="8"/>
      <c r="D209" s="8"/>
      <c r="E209" s="8"/>
      <c r="F209" s="8"/>
      <c r="G209" s="7"/>
      <c r="H209" s="8"/>
      <c r="I209" s="8"/>
      <c r="J209" s="8"/>
      <c r="K209" s="8"/>
      <c r="L209" s="7"/>
      <c r="M209" s="8"/>
      <c r="N209" s="8"/>
      <c r="O209" s="8"/>
      <c r="P209" s="8"/>
      <c r="Q209" s="7"/>
      <c r="R209" s="8"/>
      <c r="S209" s="8"/>
      <c r="T209" s="8"/>
      <c r="U209" s="8"/>
      <c r="V209" s="70"/>
      <c r="W209" s="8"/>
      <c r="X209" s="8"/>
      <c r="Y209" s="8"/>
      <c r="Z209" s="8"/>
      <c r="AA209" s="7"/>
      <c r="AB209" s="8"/>
      <c r="AC209" s="8"/>
      <c r="AD209" s="8"/>
      <c r="AE209" s="8"/>
      <c r="AF209" s="70"/>
      <c r="AG209" s="8"/>
      <c r="AK209" s="103"/>
      <c r="AL209" s="7"/>
      <c r="AM209" s="7"/>
      <c r="AN209" s="7"/>
      <c r="AO209" s="7"/>
      <c r="AP209" s="7"/>
      <c r="AQ209" s="7"/>
      <c r="AR209" s="7"/>
      <c r="AS209" s="7"/>
      <c r="AT209" s="7"/>
      <c r="AU209" s="8" t="s">
        <v>29</v>
      </c>
    </row>
    <row r="210" spans="2:47" ht="16.2" customHeight="1" x14ac:dyDescent="0.3">
      <c r="B210" s="20" t="s">
        <v>150</v>
      </c>
      <c r="C210" s="8">
        <f>SUM(C211:C212)</f>
        <v>12</v>
      </c>
      <c r="D210" s="69">
        <f t="shared" ref="D210:K212" si="332">D206-C206</f>
        <v>2</v>
      </c>
      <c r="E210" s="69">
        <f t="shared" si="332"/>
        <v>2</v>
      </c>
      <c r="F210" s="69">
        <f t="shared" si="332"/>
        <v>25</v>
      </c>
      <c r="G210" s="70">
        <f>SUM(C210:F210)</f>
        <v>41</v>
      </c>
      <c r="H210" s="8">
        <f>H206-F206</f>
        <v>0</v>
      </c>
      <c r="I210" s="69">
        <f t="shared" si="332"/>
        <v>6</v>
      </c>
      <c r="J210" s="69">
        <f t="shared" si="332"/>
        <v>12</v>
      </c>
      <c r="K210" s="69">
        <f t="shared" si="332"/>
        <v>18</v>
      </c>
      <c r="L210" s="70">
        <f>L206-F206</f>
        <v>36</v>
      </c>
      <c r="M210" s="8">
        <f>M206-K206</f>
        <v>2</v>
      </c>
      <c r="N210" s="69">
        <f>N206-M206</f>
        <v>10</v>
      </c>
      <c r="O210" s="69">
        <f t="shared" ref="O210:AJ212" si="333">O206-N206</f>
        <v>5</v>
      </c>
      <c r="P210" s="69">
        <f t="shared" si="333"/>
        <v>16</v>
      </c>
      <c r="Q210" s="70">
        <f>Q206-K206</f>
        <v>33</v>
      </c>
      <c r="R210" s="8">
        <f>R206-P206</f>
        <v>3</v>
      </c>
      <c r="S210" s="69">
        <f t="shared" si="333"/>
        <v>5</v>
      </c>
      <c r="T210" s="69">
        <f t="shared" si="333"/>
        <v>4</v>
      </c>
      <c r="U210" s="69">
        <f t="shared" si="333"/>
        <v>16</v>
      </c>
      <c r="V210" s="70">
        <f>V206-P206</f>
        <v>28</v>
      </c>
      <c r="W210" s="8">
        <f>W206-U206</f>
        <v>2</v>
      </c>
      <c r="X210" s="69">
        <f t="shared" si="333"/>
        <v>13</v>
      </c>
      <c r="Y210" s="69">
        <f t="shared" si="333"/>
        <v>7</v>
      </c>
      <c r="Z210" s="69">
        <f t="shared" si="333"/>
        <v>17</v>
      </c>
      <c r="AA210" s="70">
        <f>AA206-U206</f>
        <v>39</v>
      </c>
      <c r="AB210" s="8">
        <f>AB206-Z206</f>
        <v>4</v>
      </c>
      <c r="AC210" s="69">
        <f t="shared" si="333"/>
        <v>4</v>
      </c>
      <c r="AD210" s="69">
        <f t="shared" si="333"/>
        <v>11</v>
      </c>
      <c r="AE210" s="69">
        <f t="shared" si="333"/>
        <v>18</v>
      </c>
      <c r="AF210" s="70">
        <f>AF206-Z206</f>
        <v>37</v>
      </c>
      <c r="AG210" s="69">
        <f>AG206-AE206</f>
        <v>6</v>
      </c>
      <c r="AH210" s="69">
        <f t="shared" si="333"/>
        <v>12</v>
      </c>
      <c r="AI210" s="69">
        <f t="shared" si="333"/>
        <v>12</v>
      </c>
      <c r="AJ210" s="69">
        <f t="shared" si="333"/>
        <v>12</v>
      </c>
      <c r="AK210" s="116">
        <f>AK206-AE206</f>
        <v>42</v>
      </c>
      <c r="AL210" s="70">
        <f>AL206-AK206</f>
        <v>42</v>
      </c>
      <c r="AM210" s="70">
        <f>AM206-AL206</f>
        <v>42</v>
      </c>
      <c r="AN210" s="70">
        <f t="shared" ref="AN210:AT210" si="334">AN206-AM206</f>
        <v>42</v>
      </c>
      <c r="AO210" s="70">
        <f t="shared" si="334"/>
        <v>42</v>
      </c>
      <c r="AP210" s="70">
        <f t="shared" si="334"/>
        <v>42</v>
      </c>
      <c r="AQ210" s="70">
        <f t="shared" si="334"/>
        <v>42</v>
      </c>
      <c r="AR210" s="70">
        <f t="shared" si="334"/>
        <v>42</v>
      </c>
      <c r="AS210" s="70">
        <f t="shared" si="334"/>
        <v>42</v>
      </c>
      <c r="AT210" s="70">
        <f t="shared" si="334"/>
        <v>42</v>
      </c>
      <c r="AU210" s="8" t="s">
        <v>29</v>
      </c>
    </row>
    <row r="211" spans="2:47" ht="16.2" customHeight="1" x14ac:dyDescent="0.3">
      <c r="B211" s="24" t="s">
        <v>148</v>
      </c>
      <c r="C211" s="203">
        <v>1</v>
      </c>
      <c r="D211" s="202">
        <f t="shared" si="332"/>
        <v>1</v>
      </c>
      <c r="E211" s="202">
        <f t="shared" si="332"/>
        <v>-1</v>
      </c>
      <c r="F211" s="202">
        <f t="shared" si="332"/>
        <v>3</v>
      </c>
      <c r="G211" s="70">
        <f t="shared" ref="G211:G212" si="335">SUM(C211:F211)</f>
        <v>4</v>
      </c>
      <c r="H211" s="203">
        <f>H207-F207</f>
        <v>0</v>
      </c>
      <c r="I211" s="202">
        <f t="shared" si="332"/>
        <v>1</v>
      </c>
      <c r="J211" s="202">
        <f t="shared" si="332"/>
        <v>1</v>
      </c>
      <c r="K211" s="202">
        <f t="shared" si="332"/>
        <v>0</v>
      </c>
      <c r="L211" s="70">
        <f>L207-F207</f>
        <v>2</v>
      </c>
      <c r="M211" s="203">
        <f>M207-K207</f>
        <v>0</v>
      </c>
      <c r="N211" s="202">
        <f>N207-M207</f>
        <v>1</v>
      </c>
      <c r="O211" s="202">
        <f t="shared" si="333"/>
        <v>0</v>
      </c>
      <c r="P211" s="202">
        <f t="shared" si="333"/>
        <v>2</v>
      </c>
      <c r="Q211" s="70">
        <f>Q207-K207</f>
        <v>3</v>
      </c>
      <c r="R211" s="203">
        <f>R207-P207</f>
        <v>0</v>
      </c>
      <c r="S211" s="202">
        <f t="shared" si="333"/>
        <v>0</v>
      </c>
      <c r="T211" s="202">
        <f t="shared" si="333"/>
        <v>1</v>
      </c>
      <c r="U211" s="202">
        <f t="shared" si="333"/>
        <v>1</v>
      </c>
      <c r="V211" s="70">
        <f>V207-P207</f>
        <v>2</v>
      </c>
      <c r="W211" s="203">
        <f>W207-U207</f>
        <v>2</v>
      </c>
      <c r="X211" s="202">
        <f t="shared" si="333"/>
        <v>3</v>
      </c>
      <c r="Y211" s="202">
        <f t="shared" si="333"/>
        <v>1</v>
      </c>
      <c r="Z211" s="202">
        <f t="shared" si="333"/>
        <v>1</v>
      </c>
      <c r="AA211" s="70">
        <f>AA207-U207</f>
        <v>7</v>
      </c>
      <c r="AB211" s="203">
        <f>AB207-Z207</f>
        <v>0</v>
      </c>
      <c r="AC211" s="202">
        <f t="shared" si="333"/>
        <v>1</v>
      </c>
      <c r="AD211" s="202">
        <f t="shared" si="333"/>
        <v>1</v>
      </c>
      <c r="AE211" s="202">
        <f t="shared" si="333"/>
        <v>1</v>
      </c>
      <c r="AF211" s="70">
        <f>AF207-Z207</f>
        <v>3</v>
      </c>
      <c r="AG211" s="202">
        <f>AG207-AE207</f>
        <v>0</v>
      </c>
      <c r="AH211" s="71">
        <v>2</v>
      </c>
      <c r="AI211" s="71">
        <f>AH211</f>
        <v>2</v>
      </c>
      <c r="AJ211" s="71">
        <f t="shared" ref="AJ211" si="336">AI211</f>
        <v>2</v>
      </c>
      <c r="AK211" s="116">
        <f>AK207-AE207</f>
        <v>6</v>
      </c>
      <c r="AL211" s="72">
        <f>AK211</f>
        <v>6</v>
      </c>
      <c r="AM211" s="72">
        <f>AL211</f>
        <v>6</v>
      </c>
      <c r="AN211" s="72">
        <f t="shared" ref="AN211:AT211" si="337">AM211</f>
        <v>6</v>
      </c>
      <c r="AO211" s="72">
        <f t="shared" si="337"/>
        <v>6</v>
      </c>
      <c r="AP211" s="72">
        <f t="shared" si="337"/>
        <v>6</v>
      </c>
      <c r="AQ211" s="72">
        <f t="shared" si="337"/>
        <v>6</v>
      </c>
      <c r="AR211" s="72">
        <f t="shared" si="337"/>
        <v>6</v>
      </c>
      <c r="AS211" s="72">
        <f t="shared" si="337"/>
        <v>6</v>
      </c>
      <c r="AT211" s="72">
        <f t="shared" si="337"/>
        <v>6</v>
      </c>
      <c r="AU211" s="8" t="s">
        <v>29</v>
      </c>
    </row>
    <row r="212" spans="2:47" ht="16.2" customHeight="1" x14ac:dyDescent="0.3">
      <c r="B212" s="24" t="s">
        <v>149</v>
      </c>
      <c r="C212" s="203">
        <v>11</v>
      </c>
      <c r="D212" s="202">
        <f t="shared" si="332"/>
        <v>1</v>
      </c>
      <c r="E212" s="202">
        <f t="shared" si="332"/>
        <v>3</v>
      </c>
      <c r="F212" s="202">
        <f t="shared" si="332"/>
        <v>22</v>
      </c>
      <c r="G212" s="70">
        <f t="shared" si="335"/>
        <v>37</v>
      </c>
      <c r="H212" s="203">
        <f>H208-F208</f>
        <v>0</v>
      </c>
      <c r="I212" s="202">
        <f t="shared" si="332"/>
        <v>5</v>
      </c>
      <c r="J212" s="202">
        <f t="shared" si="332"/>
        <v>11</v>
      </c>
      <c r="K212" s="202">
        <f t="shared" si="332"/>
        <v>18</v>
      </c>
      <c r="L212" s="70">
        <f>L208-F208</f>
        <v>34</v>
      </c>
      <c r="M212" s="203">
        <f>M208-K208</f>
        <v>2</v>
      </c>
      <c r="N212" s="202">
        <f>N208-M208</f>
        <v>9</v>
      </c>
      <c r="O212" s="202">
        <f t="shared" si="333"/>
        <v>5</v>
      </c>
      <c r="P212" s="202">
        <f t="shared" si="333"/>
        <v>14</v>
      </c>
      <c r="Q212" s="70">
        <f>Q208-K208</f>
        <v>30</v>
      </c>
      <c r="R212" s="203">
        <f>R208-P208</f>
        <v>3</v>
      </c>
      <c r="S212" s="202">
        <f t="shared" si="333"/>
        <v>5</v>
      </c>
      <c r="T212" s="202">
        <f t="shared" si="333"/>
        <v>3</v>
      </c>
      <c r="U212" s="202">
        <f t="shared" si="333"/>
        <v>15</v>
      </c>
      <c r="V212" s="70">
        <f>V208-P208</f>
        <v>26</v>
      </c>
      <c r="W212" s="203">
        <f>W208-U208</f>
        <v>0</v>
      </c>
      <c r="X212" s="202">
        <f t="shared" si="333"/>
        <v>10</v>
      </c>
      <c r="Y212" s="202">
        <f t="shared" si="333"/>
        <v>6</v>
      </c>
      <c r="Z212" s="202">
        <f t="shared" si="333"/>
        <v>16</v>
      </c>
      <c r="AA212" s="70">
        <f>AA208-U208</f>
        <v>32</v>
      </c>
      <c r="AB212" s="203">
        <f>AB208-Z208</f>
        <v>4</v>
      </c>
      <c r="AC212" s="202">
        <f t="shared" si="333"/>
        <v>3</v>
      </c>
      <c r="AD212" s="202">
        <f t="shared" si="333"/>
        <v>10</v>
      </c>
      <c r="AE212" s="202">
        <f t="shared" si="333"/>
        <v>17</v>
      </c>
      <c r="AF212" s="70">
        <f>AF208-Z208</f>
        <v>34</v>
      </c>
      <c r="AG212" s="202">
        <f>AG208-AE208</f>
        <v>6</v>
      </c>
      <c r="AH212" s="71">
        <v>10</v>
      </c>
      <c r="AI212" s="71">
        <f t="shared" ref="AI212:AJ212" si="338">AH212</f>
        <v>10</v>
      </c>
      <c r="AJ212" s="71">
        <f t="shared" si="338"/>
        <v>10</v>
      </c>
      <c r="AK212" s="116">
        <f>AK208-AE208</f>
        <v>36</v>
      </c>
      <c r="AL212" s="72">
        <f>AK212</f>
        <v>36</v>
      </c>
      <c r="AM212" s="72">
        <f>AL212</f>
        <v>36</v>
      </c>
      <c r="AN212" s="72">
        <f t="shared" ref="AN212:AT212" si="339">AM212</f>
        <v>36</v>
      </c>
      <c r="AO212" s="72">
        <f t="shared" si="339"/>
        <v>36</v>
      </c>
      <c r="AP212" s="72">
        <f t="shared" si="339"/>
        <v>36</v>
      </c>
      <c r="AQ212" s="72">
        <f t="shared" si="339"/>
        <v>36</v>
      </c>
      <c r="AR212" s="72">
        <f t="shared" si="339"/>
        <v>36</v>
      </c>
      <c r="AS212" s="72">
        <f t="shared" si="339"/>
        <v>36</v>
      </c>
      <c r="AT212" s="72">
        <f t="shared" si="339"/>
        <v>36</v>
      </c>
      <c r="AU212" s="8" t="s">
        <v>29</v>
      </c>
    </row>
    <row r="213" spans="2:47" ht="7.95" customHeight="1" x14ac:dyDescent="0.3">
      <c r="B213" s="20"/>
      <c r="G213" s="7"/>
      <c r="L213" s="7"/>
      <c r="Q213" s="7"/>
      <c r="V213" s="7"/>
      <c r="AA213" s="7"/>
      <c r="AF213" s="7"/>
      <c r="AK213" s="103"/>
      <c r="AL213" s="7"/>
      <c r="AM213" s="7"/>
      <c r="AN213" s="7"/>
      <c r="AO213" s="7"/>
      <c r="AP213" s="7"/>
      <c r="AQ213" s="7"/>
      <c r="AR213" s="7"/>
      <c r="AS213" s="7"/>
      <c r="AT213" s="7"/>
      <c r="AU213" s="8" t="s">
        <v>29</v>
      </c>
    </row>
    <row r="214" spans="2:47" ht="16.2" customHeight="1" x14ac:dyDescent="0.3">
      <c r="B214" s="20" t="s">
        <v>56</v>
      </c>
      <c r="G214" s="7"/>
      <c r="H214" s="73">
        <f>H206/C206-1</f>
        <v>0.12446351931330479</v>
      </c>
      <c r="I214" s="73">
        <f>I206/D206-1</f>
        <v>0.14042553191489371</v>
      </c>
      <c r="J214" s="73">
        <f>J206/E206-1</f>
        <v>0.18143459915611815</v>
      </c>
      <c r="K214" s="73">
        <f>K206/F206-1</f>
        <v>0.13740458015267176</v>
      </c>
      <c r="L214" s="74">
        <f>L206/F206-1</f>
        <v>0.13740458015267176</v>
      </c>
      <c r="M214" s="73">
        <f t="shared" ref="M214:P216" si="340">M206/H206-1</f>
        <v>0.14503816793893121</v>
      </c>
      <c r="N214" s="73">
        <f t="shared" si="340"/>
        <v>0.15671641791044766</v>
      </c>
      <c r="O214" s="73">
        <f t="shared" si="340"/>
        <v>0.125</v>
      </c>
      <c r="P214" s="73">
        <f t="shared" si="340"/>
        <v>0.11073825503355694</v>
      </c>
      <c r="Q214" s="74">
        <f>Q206/K206-1</f>
        <v>0.11073825503355694</v>
      </c>
      <c r="R214" s="73">
        <f t="shared" ref="R214:U216" si="341">R206/M206-1</f>
        <v>0.11333333333333329</v>
      </c>
      <c r="S214" s="73">
        <f t="shared" si="341"/>
        <v>9.3548387096774155E-2</v>
      </c>
      <c r="T214" s="73">
        <f t="shared" si="341"/>
        <v>8.8888888888888795E-2</v>
      </c>
      <c r="U214" s="73">
        <f t="shared" si="341"/>
        <v>8.4592145015105702E-2</v>
      </c>
      <c r="V214" s="74">
        <f>V206/P206-1</f>
        <v>8.4592145015105702E-2</v>
      </c>
      <c r="W214" s="73">
        <f t="shared" ref="W214:Z216" si="342">W206/R206-1</f>
        <v>8.083832335329344E-2</v>
      </c>
      <c r="X214" s="73">
        <f t="shared" si="342"/>
        <v>0.10324483775811211</v>
      </c>
      <c r="Y214" s="73">
        <f t="shared" si="342"/>
        <v>0.11078717201166177</v>
      </c>
      <c r="Z214" s="73">
        <f t="shared" si="342"/>
        <v>0.10863509749303613</v>
      </c>
      <c r="AA214" s="74">
        <f>AA206/U206-1</f>
        <v>0.10863509749303613</v>
      </c>
      <c r="AB214" s="73">
        <f t="shared" ref="AB214:AE216" si="343">AB206/W206-1</f>
        <v>0.11357340720221609</v>
      </c>
      <c r="AC214" s="73">
        <f t="shared" si="343"/>
        <v>8.5561497326203106E-2</v>
      </c>
      <c r="AD214" s="73">
        <f t="shared" si="343"/>
        <v>9.4488188976378007E-2</v>
      </c>
      <c r="AE214" s="73">
        <f t="shared" si="343"/>
        <v>9.2964824120602918E-2</v>
      </c>
      <c r="AF214" s="74">
        <f>AF206/Z206-1</f>
        <v>9.2964824120602918E-2</v>
      </c>
      <c r="AG214" s="73">
        <f t="shared" ref="AG214:AJ216" si="344">AG206/AB206-1</f>
        <v>9.7014925373134275E-2</v>
      </c>
      <c r="AH214" s="73">
        <f t="shared" si="344"/>
        <v>0.11576354679802958</v>
      </c>
      <c r="AI214" s="73">
        <f t="shared" si="344"/>
        <v>0.1151079136690647</v>
      </c>
      <c r="AJ214" s="73">
        <f t="shared" si="344"/>
        <v>9.6551724137931005E-2</v>
      </c>
      <c r="AK214" s="111">
        <f>AK206/AE206-1</f>
        <v>9.6551724137931005E-2</v>
      </c>
      <c r="AL214" s="74">
        <f t="shared" ref="AL214:AM216" si="345">AL206/AK206-1</f>
        <v>8.8050314465408785E-2</v>
      </c>
      <c r="AM214" s="74">
        <f t="shared" si="345"/>
        <v>8.092485549132955E-2</v>
      </c>
      <c r="AN214" s="74">
        <f t="shared" ref="AN214:AT214" si="346">AN206/AM206-1</f>
        <v>7.4866310160427885E-2</v>
      </c>
      <c r="AO214" s="74">
        <f t="shared" si="346"/>
        <v>6.9651741293532243E-2</v>
      </c>
      <c r="AP214" s="74">
        <f t="shared" si="346"/>
        <v>6.5116279069767469E-2</v>
      </c>
      <c r="AQ214" s="74">
        <f t="shared" si="346"/>
        <v>6.1135371179039222E-2</v>
      </c>
      <c r="AR214" s="74">
        <f t="shared" si="346"/>
        <v>5.7613168724279795E-2</v>
      </c>
      <c r="AS214" s="74">
        <f t="shared" si="346"/>
        <v>5.4474708171206254E-2</v>
      </c>
      <c r="AT214" s="74">
        <f t="shared" si="346"/>
        <v>5.1660516605166018E-2</v>
      </c>
      <c r="AU214" s="8" t="s">
        <v>29</v>
      </c>
    </row>
    <row r="215" spans="2:47" ht="16.2" customHeight="1" x14ac:dyDescent="0.3">
      <c r="B215" s="24" t="s">
        <v>148</v>
      </c>
      <c r="G215" s="7"/>
      <c r="H215" s="73">
        <f t="shared" ref="H215:H216" si="347">H207/C207-1</f>
        <v>8.3333333333333259E-2</v>
      </c>
      <c r="I215" s="73">
        <f t="shared" ref="I215:K216" si="348">I207/D207-1</f>
        <v>8.1081081081081141E-2</v>
      </c>
      <c r="J215" s="73">
        <f t="shared" si="348"/>
        <v>0.13888888888888884</v>
      </c>
      <c r="K215" s="73">
        <f t="shared" si="348"/>
        <v>5.1282051282051322E-2</v>
      </c>
      <c r="L215" s="74">
        <f>L207/F207-1</f>
        <v>5.1282051282051322E-2</v>
      </c>
      <c r="M215" s="73">
        <f t="shared" si="340"/>
        <v>5.1282051282051322E-2</v>
      </c>
      <c r="N215" s="73">
        <f t="shared" si="340"/>
        <v>5.0000000000000044E-2</v>
      </c>
      <c r="O215" s="73">
        <f t="shared" si="340"/>
        <v>2.4390243902439046E-2</v>
      </c>
      <c r="P215" s="73">
        <f t="shared" si="340"/>
        <v>7.3170731707317138E-2</v>
      </c>
      <c r="Q215" s="74">
        <f>Q207/K207-1</f>
        <v>7.3170731707317138E-2</v>
      </c>
      <c r="R215" s="73">
        <f t="shared" si="341"/>
        <v>7.3170731707317138E-2</v>
      </c>
      <c r="S215" s="73">
        <f t="shared" si="341"/>
        <v>4.7619047619047672E-2</v>
      </c>
      <c r="T215" s="73">
        <f t="shared" si="341"/>
        <v>7.1428571428571397E-2</v>
      </c>
      <c r="U215" s="73">
        <f t="shared" si="341"/>
        <v>4.5454545454545414E-2</v>
      </c>
      <c r="V215" s="74">
        <f>V207/P207-1</f>
        <v>4.5454545454545414E-2</v>
      </c>
      <c r="W215" s="73">
        <f t="shared" si="342"/>
        <v>9.0909090909090828E-2</v>
      </c>
      <c r="X215" s="73">
        <f t="shared" si="342"/>
        <v>0.15909090909090917</v>
      </c>
      <c r="Y215" s="73">
        <f t="shared" si="342"/>
        <v>0.15555555555555545</v>
      </c>
      <c r="Z215" s="73">
        <f t="shared" si="342"/>
        <v>0.15217391304347827</v>
      </c>
      <c r="AA215" s="74">
        <f>AA207/U207-1</f>
        <v>0.15217391304347827</v>
      </c>
      <c r="AB215" s="73">
        <f t="shared" si="343"/>
        <v>0.10416666666666674</v>
      </c>
      <c r="AC215" s="73">
        <f t="shared" si="343"/>
        <v>5.8823529411764719E-2</v>
      </c>
      <c r="AD215" s="73">
        <f t="shared" si="343"/>
        <v>5.7692307692307709E-2</v>
      </c>
      <c r="AE215" s="73">
        <f t="shared" si="343"/>
        <v>5.6603773584905648E-2</v>
      </c>
      <c r="AF215" s="74">
        <f>AF207/Z207-1</f>
        <v>5.6603773584905648E-2</v>
      </c>
      <c r="AG215" s="73">
        <f t="shared" si="344"/>
        <v>5.6603773584905648E-2</v>
      </c>
      <c r="AH215" s="73">
        <f t="shared" si="344"/>
        <v>7.4074074074074181E-2</v>
      </c>
      <c r="AI215" s="73">
        <f t="shared" si="344"/>
        <v>9.0909090909090828E-2</v>
      </c>
      <c r="AJ215" s="73">
        <f t="shared" si="344"/>
        <v>0.10714285714285721</v>
      </c>
      <c r="AK215" s="111">
        <f>AK207/AE207-1</f>
        <v>0.10714285714285721</v>
      </c>
      <c r="AL215" s="74">
        <f t="shared" si="345"/>
        <v>9.6774193548387011E-2</v>
      </c>
      <c r="AM215" s="74">
        <f t="shared" si="345"/>
        <v>8.8235294117646967E-2</v>
      </c>
      <c r="AN215" s="74">
        <f t="shared" ref="AN215:AT215" si="349">AN207/AM207-1</f>
        <v>8.1081081081081141E-2</v>
      </c>
      <c r="AO215" s="74">
        <f t="shared" si="349"/>
        <v>7.4999999999999956E-2</v>
      </c>
      <c r="AP215" s="74">
        <f t="shared" si="349"/>
        <v>6.9767441860465018E-2</v>
      </c>
      <c r="AQ215" s="74">
        <f t="shared" si="349"/>
        <v>6.5217391304347894E-2</v>
      </c>
      <c r="AR215" s="74">
        <f t="shared" si="349"/>
        <v>6.1224489795918435E-2</v>
      </c>
      <c r="AS215" s="74">
        <f t="shared" si="349"/>
        <v>5.7692307692307709E-2</v>
      </c>
      <c r="AT215" s="74">
        <f t="shared" si="349"/>
        <v>5.4545454545454453E-2</v>
      </c>
      <c r="AU215" s="8" t="s">
        <v>29</v>
      </c>
    </row>
    <row r="216" spans="2:47" ht="16.2" customHeight="1" x14ac:dyDescent="0.3">
      <c r="B216" s="24" t="s">
        <v>149</v>
      </c>
      <c r="G216" s="7"/>
      <c r="H216" s="73">
        <f t="shared" si="347"/>
        <v>0.13197969543147203</v>
      </c>
      <c r="I216" s="73">
        <f t="shared" si="348"/>
        <v>0.1515151515151516</v>
      </c>
      <c r="J216" s="73">
        <f t="shared" si="348"/>
        <v>0.18905472636815923</v>
      </c>
      <c r="K216" s="73">
        <f t="shared" si="348"/>
        <v>0.15246636771300448</v>
      </c>
      <c r="L216" s="74">
        <f>L208/F208-1</f>
        <v>0.15246636771300448</v>
      </c>
      <c r="M216" s="73">
        <f t="shared" si="340"/>
        <v>0.16143497757847536</v>
      </c>
      <c r="N216" s="73">
        <f t="shared" si="340"/>
        <v>0.17543859649122817</v>
      </c>
      <c r="O216" s="73">
        <f t="shared" si="340"/>
        <v>0.14225941422594146</v>
      </c>
      <c r="P216" s="73">
        <f t="shared" si="340"/>
        <v>0.11673151750972766</v>
      </c>
      <c r="Q216" s="74">
        <f>Q208/K208-1</f>
        <v>0.11673151750972766</v>
      </c>
      <c r="R216" s="73">
        <f t="shared" si="341"/>
        <v>0.11969111969111967</v>
      </c>
      <c r="S216" s="73">
        <f t="shared" si="341"/>
        <v>0.10074626865671643</v>
      </c>
      <c r="T216" s="73">
        <f t="shared" si="341"/>
        <v>9.1575091575091472E-2</v>
      </c>
      <c r="U216" s="73">
        <f t="shared" si="341"/>
        <v>9.0592334494773441E-2</v>
      </c>
      <c r="V216" s="74">
        <f>V208/P208-1</f>
        <v>9.0592334494773441E-2</v>
      </c>
      <c r="W216" s="73">
        <f t="shared" si="342"/>
        <v>7.9310344827586254E-2</v>
      </c>
      <c r="X216" s="73">
        <f t="shared" si="342"/>
        <v>9.4915254237288194E-2</v>
      </c>
      <c r="Y216" s="73">
        <f t="shared" si="342"/>
        <v>0.10402684563758391</v>
      </c>
      <c r="Z216" s="73">
        <f t="shared" si="342"/>
        <v>0.10223642172523961</v>
      </c>
      <c r="AA216" s="74">
        <f>AA208/U208-1</f>
        <v>0.10223642172523961</v>
      </c>
      <c r="AB216" s="73">
        <f t="shared" si="343"/>
        <v>0.11501597444089451</v>
      </c>
      <c r="AC216" s="73">
        <f t="shared" si="343"/>
        <v>8.9783281733746056E-2</v>
      </c>
      <c r="AD216" s="73">
        <f t="shared" si="343"/>
        <v>0.10030395136778125</v>
      </c>
      <c r="AE216" s="73">
        <f t="shared" si="343"/>
        <v>9.8550724637681109E-2</v>
      </c>
      <c r="AF216" s="74">
        <f>AF208/Z208-1</f>
        <v>9.8550724637681109E-2</v>
      </c>
      <c r="AG216" s="73">
        <f t="shared" si="344"/>
        <v>0.1031518624641834</v>
      </c>
      <c r="AH216" s="73">
        <f t="shared" si="344"/>
        <v>0.12215909090909083</v>
      </c>
      <c r="AI216" s="73">
        <f t="shared" si="344"/>
        <v>0.11878453038674031</v>
      </c>
      <c r="AJ216" s="73">
        <f t="shared" si="344"/>
        <v>9.4986807387862804E-2</v>
      </c>
      <c r="AK216" s="111">
        <f>AK208/AE208-1</f>
        <v>9.4986807387862804E-2</v>
      </c>
      <c r="AL216" s="74">
        <f t="shared" si="345"/>
        <v>8.6746987951807242E-2</v>
      </c>
      <c r="AM216" s="74">
        <f t="shared" si="345"/>
        <v>7.9822616407982272E-2</v>
      </c>
      <c r="AN216" s="74">
        <f t="shared" ref="AN216:AT216" si="350">AN208/AM208-1</f>
        <v>7.3921971252566721E-2</v>
      </c>
      <c r="AO216" s="74">
        <f t="shared" si="350"/>
        <v>6.8833652007648238E-2</v>
      </c>
      <c r="AP216" s="74">
        <f t="shared" si="350"/>
        <v>6.4400715563506239E-2</v>
      </c>
      <c r="AQ216" s="74">
        <f t="shared" si="350"/>
        <v>6.0504201680672276E-2</v>
      </c>
      <c r="AR216" s="74">
        <f t="shared" si="350"/>
        <v>5.7052297939778063E-2</v>
      </c>
      <c r="AS216" s="74">
        <f t="shared" si="350"/>
        <v>5.3973013493253452E-2</v>
      </c>
      <c r="AT216" s="74">
        <f t="shared" si="350"/>
        <v>5.1209103840682779E-2</v>
      </c>
      <c r="AU216" s="8" t="s">
        <v>29</v>
      </c>
    </row>
    <row r="217" spans="2:47" ht="7.95" customHeight="1" x14ac:dyDescent="0.3">
      <c r="G217" s="7"/>
      <c r="L217" s="7"/>
      <c r="Q217" s="7"/>
      <c r="V217" s="7"/>
      <c r="AA217" s="7"/>
      <c r="AF217" s="7"/>
      <c r="AK217" s="103"/>
      <c r="AL217" s="7"/>
      <c r="AM217" s="7"/>
      <c r="AN217" s="7"/>
      <c r="AO217" s="7"/>
      <c r="AP217" s="7"/>
      <c r="AQ217" s="7"/>
      <c r="AR217" s="7"/>
      <c r="AS217" s="7"/>
      <c r="AT217" s="7"/>
      <c r="AU217" s="8" t="s">
        <v>29</v>
      </c>
    </row>
    <row r="218" spans="2:47" ht="16.2" customHeight="1" x14ac:dyDescent="0.3">
      <c r="B218" s="5" t="s">
        <v>151</v>
      </c>
      <c r="C218" s="18">
        <f>C221+C225+C229</f>
        <v>98.816510980000004</v>
      </c>
      <c r="D218" s="18">
        <f t="shared" ref="D218:AJ218" si="351">D221+D225+D229</f>
        <v>40.369489020000003</v>
      </c>
      <c r="E218" s="18">
        <f t="shared" si="351"/>
        <v>119.21100000000001</v>
      </c>
      <c r="F218" s="18">
        <f t="shared" si="351"/>
        <v>214.602</v>
      </c>
      <c r="G218" s="19">
        <f>SUM(C218:F218)</f>
        <v>472.99900000000002</v>
      </c>
      <c r="H218" s="18">
        <f t="shared" si="351"/>
        <v>124.55200000000001</v>
      </c>
      <c r="I218" s="18">
        <f t="shared" si="351"/>
        <v>176.73600000000002</v>
      </c>
      <c r="J218" s="18">
        <f t="shared" si="351"/>
        <v>217.91899999999998</v>
      </c>
      <c r="K218" s="18">
        <f t="shared" si="351"/>
        <v>276.74200000000002</v>
      </c>
      <c r="L218" s="19">
        <f>SUM(H218:K218)</f>
        <v>795.94900000000007</v>
      </c>
      <c r="M218" s="18">
        <f t="shared" si="351"/>
        <v>209.38299999999998</v>
      </c>
      <c r="N218" s="18">
        <f t="shared" si="351"/>
        <v>221.72300000000001</v>
      </c>
      <c r="O218" s="18">
        <f t="shared" si="351"/>
        <v>244.142</v>
      </c>
      <c r="P218" s="18">
        <f t="shared" si="351"/>
        <v>324.91000000000003</v>
      </c>
      <c r="Q218" s="19">
        <f>SUM(M218:P218)</f>
        <v>1000.1580000000001</v>
      </c>
      <c r="R218" s="18">
        <f t="shared" si="351"/>
        <v>246.357</v>
      </c>
      <c r="S218" s="18">
        <f t="shared" si="351"/>
        <v>263.32799999999997</v>
      </c>
      <c r="T218" s="18">
        <f t="shared" si="351"/>
        <v>294.09999999999997</v>
      </c>
      <c r="U218" s="18">
        <f t="shared" si="351"/>
        <v>390.36099999999999</v>
      </c>
      <c r="V218" s="19">
        <f>SUM(R218:U218)</f>
        <v>1194.1459999999997</v>
      </c>
      <c r="W218" s="18">
        <f t="shared" si="351"/>
        <v>284.60199999999998</v>
      </c>
      <c r="X218" s="18">
        <f t="shared" si="351"/>
        <v>320.07400000000001</v>
      </c>
      <c r="Y218" s="18">
        <f t="shared" si="351"/>
        <v>344.28781048555885</v>
      </c>
      <c r="Z218" s="18">
        <f t="shared" si="351"/>
        <v>465.60900000000004</v>
      </c>
      <c r="AA218" s="19">
        <f>SUM(W218:Z218)</f>
        <v>1414.5728104855589</v>
      </c>
      <c r="AB218" s="18">
        <f t="shared" si="351"/>
        <v>380.64800000000002</v>
      </c>
      <c r="AC218" s="18">
        <f t="shared" si="351"/>
        <v>408.95020630599981</v>
      </c>
      <c r="AD218" s="18">
        <f t="shared" si="351"/>
        <v>441.69926757211988</v>
      </c>
      <c r="AE218" s="18">
        <f t="shared" si="351"/>
        <v>588.05600000000004</v>
      </c>
      <c r="AF218" s="19">
        <f>SUM(AB218:AE218)</f>
        <v>1819.3534738781198</v>
      </c>
      <c r="AG218" s="18">
        <f t="shared" si="351"/>
        <v>442.9</v>
      </c>
      <c r="AH218" s="18">
        <f t="shared" si="351"/>
        <v>465.98085017571628</v>
      </c>
      <c r="AI218" s="18">
        <f t="shared" si="351"/>
        <v>506.28677639638363</v>
      </c>
      <c r="AJ218" s="18">
        <f t="shared" si="351"/>
        <v>673.30965318702022</v>
      </c>
      <c r="AK218" s="110">
        <f>SUM(AG218:AJ218)</f>
        <v>2088.4772797591199</v>
      </c>
      <c r="AL218" s="19">
        <f>AL221+AL225+AL229</f>
        <v>2381.7342521724991</v>
      </c>
      <c r="AM218" s="19">
        <f>AM221+AM225+AM229</f>
        <v>2703.7260701454534</v>
      </c>
      <c r="AN218" s="19">
        <f t="shared" ref="AN218:AT218" si="352">AN221+AN225+AN229</f>
        <v>3049.4005805323222</v>
      </c>
      <c r="AO218" s="19">
        <f t="shared" si="352"/>
        <v>3420.2065766886431</v>
      </c>
      <c r="AP218" s="19">
        <f t="shared" si="352"/>
        <v>3817.6736377253828</v>
      </c>
      <c r="AQ218" s="19">
        <f t="shared" si="352"/>
        <v>4243.4163842837961</v>
      </c>
      <c r="AR218" s="19">
        <f t="shared" si="352"/>
        <v>4699.1389499544157</v>
      </c>
      <c r="AS218" s="19">
        <f t="shared" si="352"/>
        <v>5186.6396789600385</v>
      </c>
      <c r="AT218" s="19">
        <f t="shared" si="352"/>
        <v>5707.8160612342417</v>
      </c>
      <c r="AU218" s="8" t="s">
        <v>29</v>
      </c>
    </row>
    <row r="219" spans="2:47" ht="16.2" customHeight="1" x14ac:dyDescent="0.3">
      <c r="B219" s="20" t="s">
        <v>35</v>
      </c>
      <c r="G219" s="7"/>
      <c r="H219" s="21">
        <f>H218/C218-1</f>
        <v>0.26043713509788602</v>
      </c>
      <c r="I219" s="21">
        <f>I218/D218-1</f>
        <v>3.3779597981148788</v>
      </c>
      <c r="J219" s="21">
        <f>J218/E218-1</f>
        <v>0.82801083792603003</v>
      </c>
      <c r="K219" s="21">
        <f>K218/F218-1</f>
        <v>0.28955927717355845</v>
      </c>
      <c r="L219" s="14">
        <f>L218/SUM(C218:F218)-1</f>
        <v>0.68277099951585529</v>
      </c>
      <c r="M219" s="21">
        <f>M218/H218-1</f>
        <v>0.68108902305864194</v>
      </c>
      <c r="N219" s="21">
        <f>N218/I218-1</f>
        <v>0.25454349990946934</v>
      </c>
      <c r="O219" s="21">
        <f>O218/J218-1</f>
        <v>0.12033370197183357</v>
      </c>
      <c r="P219" s="21">
        <f>P218/K218-1</f>
        <v>0.17405381185363988</v>
      </c>
      <c r="Q219" s="14">
        <f>Q218/SUM(H218:K218)-1</f>
        <v>0.25656040776481914</v>
      </c>
      <c r="R219" s="21">
        <f>R218/M218-1</f>
        <v>0.17658549165882631</v>
      </c>
      <c r="S219" s="21">
        <f>S218/N218-1</f>
        <v>0.1876440423411192</v>
      </c>
      <c r="T219" s="21">
        <f>T218/O218-1</f>
        <v>0.20462681554177475</v>
      </c>
      <c r="U219" s="21">
        <f>U218/P218-1</f>
        <v>0.20144347665507367</v>
      </c>
      <c r="V219" s="14">
        <f>V218/SUM(M218:P218)-1</f>
        <v>0.19395735473795095</v>
      </c>
      <c r="W219" s="21">
        <f>W218/R218-1</f>
        <v>0.15524218918074162</v>
      </c>
      <c r="X219" s="21">
        <f>X218/S218-1</f>
        <v>0.21549550370640436</v>
      </c>
      <c r="Y219" s="21">
        <f>Y218/T218-1</f>
        <v>0.17064879457857485</v>
      </c>
      <c r="Z219" s="21">
        <f>Z218/U218-1</f>
        <v>0.19276515840465636</v>
      </c>
      <c r="AA219" s="14">
        <f>AA218/SUM(R218:U218)-1</f>
        <v>0.18458949783825362</v>
      </c>
      <c r="AB219" s="21">
        <f>AB218/W218-1</f>
        <v>0.337474789354959</v>
      </c>
      <c r="AC219" s="21">
        <f>AC218/X218-1</f>
        <v>0.27767393260933337</v>
      </c>
      <c r="AD219" s="21">
        <f>AD218/Y218-1</f>
        <v>0.28293611949019892</v>
      </c>
      <c r="AE219" s="21">
        <f>AE218/Z218-1</f>
        <v>0.26298245953149535</v>
      </c>
      <c r="AF219" s="14">
        <f>AF218/SUM(W218:Z218)-1</f>
        <v>0.28615046209860195</v>
      </c>
      <c r="AG219" s="21">
        <f>AG218/AB218-1</f>
        <v>0.16354217019398476</v>
      </c>
      <c r="AH219" s="21">
        <f>AH218/AC218-1</f>
        <v>0.13945620515726764</v>
      </c>
      <c r="AI219" s="21">
        <f>AI218/AD218-1</f>
        <v>0.14622507567033272</v>
      </c>
      <c r="AJ219" s="21">
        <f>AJ218/AE218-1</f>
        <v>0.14497539891952504</v>
      </c>
      <c r="AK219" s="111">
        <f>AK218/SUM(AB218:AE218)-1</f>
        <v>0.14792277022855704</v>
      </c>
      <c r="AL219" s="14">
        <f>AL218/AK218-1</f>
        <v>0.14041664482325733</v>
      </c>
      <c r="AM219" s="14">
        <f>AM218/AL218-1</f>
        <v>0.13519216834508274</v>
      </c>
      <c r="AN219" s="14">
        <f t="shared" ref="AN219:AT219" si="353">AN218/AM218-1</f>
        <v>0.1278511585192772</v>
      </c>
      <c r="AO219" s="14">
        <f t="shared" si="353"/>
        <v>0.12159963453918898</v>
      </c>
      <c r="AP219" s="14">
        <f t="shared" si="353"/>
        <v>0.11621141943465796</v>
      </c>
      <c r="AQ219" s="14">
        <f t="shared" si="353"/>
        <v>0.111518895264205</v>
      </c>
      <c r="AR219" s="14">
        <f t="shared" si="353"/>
        <v>0.10739520339282849</v>
      </c>
      <c r="AS219" s="14">
        <f t="shared" si="353"/>
        <v>0.10374256522258229</v>
      </c>
      <c r="AT219" s="14">
        <f t="shared" si="353"/>
        <v>0.10048440117951341</v>
      </c>
      <c r="AU219" s="8" t="s">
        <v>29</v>
      </c>
    </row>
    <row r="220" spans="2:47" ht="7.95" customHeight="1" x14ac:dyDescent="0.3">
      <c r="G220" s="7"/>
      <c r="L220" s="7"/>
      <c r="Q220" s="7"/>
      <c r="V220" s="7"/>
      <c r="AA220" s="7"/>
      <c r="AF220" s="7"/>
      <c r="AK220" s="103"/>
      <c r="AL220" s="7"/>
      <c r="AM220" s="7"/>
      <c r="AN220" s="7"/>
      <c r="AO220" s="7"/>
      <c r="AP220" s="7"/>
      <c r="AQ220" s="7"/>
      <c r="AR220" s="7"/>
      <c r="AS220" s="7"/>
      <c r="AT220" s="7"/>
      <c r="AU220" s="8" t="s">
        <v>29</v>
      </c>
    </row>
    <row r="221" spans="2:47" ht="16.2" customHeight="1" x14ac:dyDescent="0.3">
      <c r="B221" s="20" t="s">
        <v>316</v>
      </c>
      <c r="C221" s="204">
        <v>36.81305098</v>
      </c>
      <c r="D221" s="204">
        <v>5.37794902</v>
      </c>
      <c r="E221" s="204">
        <v>37.417000000000002</v>
      </c>
      <c r="F221" s="204">
        <v>77.052000000000007</v>
      </c>
      <c r="G221" s="23">
        <f>SUM(C221:F221)</f>
        <v>156.66000000000003</v>
      </c>
      <c r="H221" s="204">
        <v>39.883000000000003</v>
      </c>
      <c r="I221" s="204">
        <v>57.482999999999997</v>
      </c>
      <c r="J221" s="204">
        <v>75.504000000000005</v>
      </c>
      <c r="K221" s="204">
        <v>105.15</v>
      </c>
      <c r="L221" s="23">
        <f>SUM(H221:K221)</f>
        <v>278.02</v>
      </c>
      <c r="M221" s="204">
        <v>73.849999999999994</v>
      </c>
      <c r="N221" s="204">
        <v>76.304000000000002</v>
      </c>
      <c r="O221" s="204">
        <v>84.04</v>
      </c>
      <c r="P221" s="204">
        <v>126.983</v>
      </c>
      <c r="Q221" s="23">
        <f>SUM(M221:P221)</f>
        <v>361.17700000000002</v>
      </c>
      <c r="R221" s="204">
        <v>89.578000000000003</v>
      </c>
      <c r="S221" s="204">
        <v>91.078999999999994</v>
      </c>
      <c r="T221" s="204">
        <v>101.6</v>
      </c>
      <c r="U221" s="204">
        <v>142.86199999999999</v>
      </c>
      <c r="V221" s="23">
        <f>SUM(R221:U221)</f>
        <v>425.11899999999991</v>
      </c>
      <c r="W221" s="204">
        <v>98.884</v>
      </c>
      <c r="X221" s="204">
        <v>108.765</v>
      </c>
      <c r="Y221" s="204">
        <v>114.11664266999998</v>
      </c>
      <c r="Z221" s="204">
        <v>165.06700000000001</v>
      </c>
      <c r="AA221" s="23">
        <f>SUM(W221:Z221)</f>
        <v>486.83264266999998</v>
      </c>
      <c r="AB221" s="204">
        <v>128.523</v>
      </c>
      <c r="AC221" s="204">
        <v>130.54824564000003</v>
      </c>
      <c r="AD221" s="204">
        <v>140.53230809999999</v>
      </c>
      <c r="AE221" s="204">
        <v>197.51</v>
      </c>
      <c r="AF221" s="23">
        <f>SUM(AB221:AE221)</f>
        <v>597.11355374000004</v>
      </c>
      <c r="AG221" s="204">
        <v>143.816</v>
      </c>
      <c r="AH221" s="22">
        <f>((AH237)*(AH207-(AH211+AG211+AE211+AD211)*(1-$C$244)-(AC211+AB211+Z211+Y211)*(1-$C$245))/1000*3)</f>
        <v>146.58956748521049</v>
      </c>
      <c r="AI221" s="22">
        <f>((AI237)*(AI207-(AI211+AH211+AG211+AE211)*(1-$C$244)-(AD211+AC211+AB211+Z211)*(1-$C$245))/1000*3)</f>
        <v>158.97164736299712</v>
      </c>
      <c r="AJ221" s="22">
        <f>((AJ237)*(AJ207-(AJ211+AI211+AH211+AG211)*(1-$C$244)-(AE211+AD211+AC211+AB211)*(1-$C$245))/1000*3)</f>
        <v>225.0098956033676</v>
      </c>
      <c r="AK221" s="105">
        <f>SUM(AG221:AJ221)</f>
        <v>674.38711045157515</v>
      </c>
      <c r="AL221" s="22">
        <f>((AL237)*(AL207-AL211*(1-$C$244)-AK211*(1-$C$245))/1000*12)</f>
        <v>767.84530027572691</v>
      </c>
      <c r="AM221" s="23">
        <f t="shared" ref="AM221:AT221" si="354">((AM237)*(AM207-AM211*(1-$C$244)-AL211*(1-$C$245))/1000*12)</f>
        <v>873.30723512170971</v>
      </c>
      <c r="AN221" s="23">
        <f t="shared" si="354"/>
        <v>985.97757227493003</v>
      </c>
      <c r="AO221" s="23">
        <f t="shared" si="354"/>
        <v>1106.2642448242132</v>
      </c>
      <c r="AP221" s="23">
        <f t="shared" si="354"/>
        <v>1234.5962870617991</v>
      </c>
      <c r="AQ221" s="23">
        <f t="shared" si="354"/>
        <v>1371.4248698866732</v>
      </c>
      <c r="AR221" s="23">
        <f t="shared" si="354"/>
        <v>1517.2243852782385</v>
      </c>
      <c r="AS221" s="23">
        <f t="shared" si="354"/>
        <v>1672.49358210931</v>
      </c>
      <c r="AT221" s="23">
        <f t="shared" si="354"/>
        <v>1837.7567556704225</v>
      </c>
      <c r="AU221" s="8" t="s">
        <v>29</v>
      </c>
    </row>
    <row r="222" spans="2:47" ht="16.2" customHeight="1" x14ac:dyDescent="0.3">
      <c r="B222" s="24" t="s">
        <v>35</v>
      </c>
      <c r="G222" s="7"/>
      <c r="H222" s="21">
        <f>H221/C221-1</f>
        <v>8.3392952723963631E-2</v>
      </c>
      <c r="I222" s="21">
        <f>I221/D221-1</f>
        <v>9.6886472493932256</v>
      </c>
      <c r="J222" s="21">
        <f>J221/E221-1</f>
        <v>1.0179062992757304</v>
      </c>
      <c r="K222" s="21">
        <f>K221/F221-1</f>
        <v>0.36466282510512382</v>
      </c>
      <c r="L222" s="14">
        <f>L221/SUM(C221:F221)-1</f>
        <v>0.77467126260691899</v>
      </c>
      <c r="M222" s="21">
        <f>M221/H221-1</f>
        <v>0.85166612341097681</v>
      </c>
      <c r="N222" s="21">
        <f>N221/I221-1</f>
        <v>0.32741854113390056</v>
      </c>
      <c r="O222" s="21">
        <f>O221/J221-1</f>
        <v>0.11305361305361306</v>
      </c>
      <c r="P222" s="21">
        <f>P221/K221-1</f>
        <v>0.20763670946267232</v>
      </c>
      <c r="Q222" s="14">
        <f>Q221/SUM(H221:K221)-1</f>
        <v>0.29910438097978576</v>
      </c>
      <c r="R222" s="21">
        <f>R221/M221-1</f>
        <v>0.21297224102911327</v>
      </c>
      <c r="S222" s="21">
        <f>S221/N221-1</f>
        <v>0.19363336129167519</v>
      </c>
      <c r="T222" s="21">
        <f>T221/O221-1</f>
        <v>0.2089481199428842</v>
      </c>
      <c r="U222" s="21">
        <f>U221/P221-1</f>
        <v>0.12504823480308369</v>
      </c>
      <c r="V222" s="14">
        <f>V221/SUM(M221:P221)-1</f>
        <v>0.17703785124744909</v>
      </c>
      <c r="W222" s="21">
        <f>W221/R221-1</f>
        <v>0.10388711513987814</v>
      </c>
      <c r="X222" s="21">
        <f>X221/S221-1</f>
        <v>0.1941830718387334</v>
      </c>
      <c r="Y222" s="21">
        <f>Y221/T221-1</f>
        <v>0.12319530187007866</v>
      </c>
      <c r="Z222" s="21">
        <f>Z221/U221-1</f>
        <v>0.15542971538967687</v>
      </c>
      <c r="AA222" s="14">
        <f>AA221/SUM(R221:U221)-1</f>
        <v>0.14516792396952405</v>
      </c>
      <c r="AB222" s="21">
        <f>AB221/W221-1</f>
        <v>0.29973504308078147</v>
      </c>
      <c r="AC222" s="21">
        <f>AC221/X221-1</f>
        <v>0.20027808247138346</v>
      </c>
      <c r="AD222" s="21">
        <f>AD221/Y221-1</f>
        <v>0.2314795179033462</v>
      </c>
      <c r="AE222" s="21">
        <f>AE221/Z221-1</f>
        <v>0.19654443347246864</v>
      </c>
      <c r="AF222" s="14">
        <f>AF221/SUM(W221:Z221)-1</f>
        <v>0.22652735540733682</v>
      </c>
      <c r="AG222" s="21">
        <f>AG221/AB221-1</f>
        <v>0.11899037526357148</v>
      </c>
      <c r="AH222" s="21">
        <f>AH221/AC221-1</f>
        <v>0.12287657920310946</v>
      </c>
      <c r="AI222" s="21">
        <f>AI221/AD221-1</f>
        <v>0.13121067683508092</v>
      </c>
      <c r="AJ222" s="21">
        <f>AJ221/AE221-1</f>
        <v>0.13923292797006526</v>
      </c>
      <c r="AK222" s="111">
        <f>AK221/SUM(AB221:AE221)-1</f>
        <v>0.12941182833244169</v>
      </c>
      <c r="AL222" s="14">
        <f>AL221/AK221-1</f>
        <v>0.13858240819812129</v>
      </c>
      <c r="AM222" s="14">
        <f>AM221/AL221-1</f>
        <v>0.13734789391575664</v>
      </c>
      <c r="AN222" s="14">
        <f t="shared" ref="AN222:AT222" si="355">AN221/AM221-1</f>
        <v>0.12901569186875883</v>
      </c>
      <c r="AO222" s="14">
        <f t="shared" si="355"/>
        <v>0.12199737187910631</v>
      </c>
      <c r="AP222" s="14">
        <f t="shared" si="355"/>
        <v>0.11600487210718624</v>
      </c>
      <c r="AQ222" s="14">
        <f t="shared" si="355"/>
        <v>0.11082860385925075</v>
      </c>
      <c r="AR222" s="14">
        <f t="shared" si="355"/>
        <v>0.10631243358129661</v>
      </c>
      <c r="AS222" s="14">
        <f t="shared" si="355"/>
        <v>0.10233766233766217</v>
      </c>
      <c r="AT222" s="14">
        <f t="shared" si="355"/>
        <v>9.8812441093308445E-2</v>
      </c>
      <c r="AU222" s="8" t="s">
        <v>29</v>
      </c>
    </row>
    <row r="223" spans="2:47" ht="16.2" customHeight="1" x14ac:dyDescent="0.3">
      <c r="B223" s="24" t="s">
        <v>153</v>
      </c>
      <c r="C223" s="21">
        <f>C221/C$218</f>
        <v>0.37253947356480527</v>
      </c>
      <c r="D223" s="21">
        <f t="shared" ref="D223:AJ223" si="356">D221/D$218</f>
        <v>0.13321815932165096</v>
      </c>
      <c r="E223" s="21">
        <f t="shared" si="356"/>
        <v>0.3138720420095461</v>
      </c>
      <c r="F223" s="21">
        <f t="shared" si="356"/>
        <v>0.35904604803310314</v>
      </c>
      <c r="G223" s="14">
        <f>G221/G218</f>
        <v>0.33120577421939584</v>
      </c>
      <c r="H223" s="21">
        <f t="shared" si="356"/>
        <v>0.32021163851242856</v>
      </c>
      <c r="I223" s="21">
        <f t="shared" si="356"/>
        <v>0.32524782726778917</v>
      </c>
      <c r="J223" s="21">
        <f t="shared" si="356"/>
        <v>0.3464773608542624</v>
      </c>
      <c r="K223" s="21">
        <f t="shared" si="356"/>
        <v>0.37995678285189816</v>
      </c>
      <c r="L223" s="14">
        <f>L221/L218</f>
        <v>0.34929373615646225</v>
      </c>
      <c r="M223" s="21">
        <f t="shared" si="356"/>
        <v>0.35270294149954867</v>
      </c>
      <c r="N223" s="21">
        <f t="shared" si="356"/>
        <v>0.34414111301037781</v>
      </c>
      <c r="O223" s="21">
        <f t="shared" si="356"/>
        <v>0.3442259013197238</v>
      </c>
      <c r="P223" s="21">
        <f t="shared" si="356"/>
        <v>0.39082515158043762</v>
      </c>
      <c r="Q223" s="14">
        <f>Q221/Q218</f>
        <v>0.36111994304899825</v>
      </c>
      <c r="R223" s="21">
        <f t="shared" si="356"/>
        <v>0.36361053268224569</v>
      </c>
      <c r="S223" s="21">
        <f t="shared" si="356"/>
        <v>0.34587662534937419</v>
      </c>
      <c r="T223" s="21">
        <f t="shared" si="356"/>
        <v>0.34546072764365865</v>
      </c>
      <c r="U223" s="21">
        <f t="shared" si="356"/>
        <v>0.36597405990864867</v>
      </c>
      <c r="V223" s="14">
        <f>V221/V218</f>
        <v>0.3560025323536653</v>
      </c>
      <c r="W223" s="21">
        <f t="shared" si="356"/>
        <v>0.34744660965137281</v>
      </c>
      <c r="X223" s="21">
        <f t="shared" si="356"/>
        <v>0.3398120434649487</v>
      </c>
      <c r="Y223" s="21">
        <f t="shared" si="356"/>
        <v>0.33145710999485589</v>
      </c>
      <c r="Z223" s="21">
        <f t="shared" si="356"/>
        <v>0.35451849083673209</v>
      </c>
      <c r="AA223" s="14">
        <f>AA221/AA218</f>
        <v>0.3441552382891428</v>
      </c>
      <c r="AB223" s="21">
        <f t="shared" si="356"/>
        <v>0.33764265147853134</v>
      </c>
      <c r="AC223" s="21">
        <f t="shared" si="356"/>
        <v>0.31922772901676055</v>
      </c>
      <c r="AD223" s="21">
        <f t="shared" si="356"/>
        <v>0.31816287328811144</v>
      </c>
      <c r="AE223" s="21">
        <f t="shared" si="356"/>
        <v>0.33586937298488573</v>
      </c>
      <c r="AF223" s="14">
        <f>AF221/AF218</f>
        <v>0.328200958369677</v>
      </c>
      <c r="AG223" s="21">
        <f t="shared" si="356"/>
        <v>0.32471438247911494</v>
      </c>
      <c r="AH223" s="21">
        <f t="shared" si="356"/>
        <v>0.31458281478720246</v>
      </c>
      <c r="AI223" s="21">
        <f t="shared" si="356"/>
        <v>0.31399525876325585</v>
      </c>
      <c r="AJ223" s="21">
        <f t="shared" si="356"/>
        <v>0.33418486507406164</v>
      </c>
      <c r="AK223" s="111">
        <f>AK221/AK218</f>
        <v>0.32290852143211124</v>
      </c>
      <c r="AL223" s="14">
        <f>AL221/AL218</f>
        <v>0.32238915805797258</v>
      </c>
      <c r="AM223" s="14">
        <f>AM221/AM218</f>
        <v>0.32300137383175365</v>
      </c>
      <c r="AN223" s="14">
        <f t="shared" ref="AN223:AT223" si="357">AN221/AN218</f>
        <v>0.32333488049077885</v>
      </c>
      <c r="AO223" s="14">
        <f t="shared" si="357"/>
        <v>0.3234495402600126</v>
      </c>
      <c r="AP223" s="14">
        <f t="shared" si="357"/>
        <v>0.32338968812362567</v>
      </c>
      <c r="AQ223" s="14">
        <f t="shared" si="357"/>
        <v>0.32318885202168118</v>
      </c>
      <c r="AR223" s="14">
        <f t="shared" si="357"/>
        <v>0.32287284999158333</v>
      </c>
      <c r="AS223" s="14">
        <f t="shared" si="357"/>
        <v>0.32246188006733828</v>
      </c>
      <c r="AT223" s="14">
        <f t="shared" si="357"/>
        <v>0.32197196545135887</v>
      </c>
      <c r="AU223" s="8" t="s">
        <v>29</v>
      </c>
    </row>
    <row r="224" spans="2:47" ht="7.95" customHeight="1" x14ac:dyDescent="0.3">
      <c r="G224" s="7"/>
      <c r="L224" s="7"/>
      <c r="Q224" s="7"/>
      <c r="V224" s="7"/>
      <c r="AA224" s="7"/>
      <c r="AF224" s="7"/>
      <c r="AK224" s="103"/>
      <c r="AL224" s="7"/>
      <c r="AM224" s="7"/>
      <c r="AN224" s="7"/>
      <c r="AO224" s="7"/>
      <c r="AP224" s="7"/>
      <c r="AQ224" s="7"/>
      <c r="AR224" s="7"/>
      <c r="AS224" s="7"/>
      <c r="AT224" s="7"/>
      <c r="AU224" s="8"/>
    </row>
    <row r="225" spans="2:47" ht="16.2" customHeight="1" x14ac:dyDescent="0.3">
      <c r="B225" s="20" t="s">
        <v>149</v>
      </c>
      <c r="C225" s="204">
        <v>56.061999999999998</v>
      </c>
      <c r="D225" s="204">
        <v>18.509</v>
      </c>
      <c r="E225" s="204">
        <v>65.334000000000003</v>
      </c>
      <c r="F225" s="204">
        <v>123.383</v>
      </c>
      <c r="G225" s="23">
        <f>SUM(C225:F225)</f>
        <v>263.28800000000001</v>
      </c>
      <c r="H225" s="204">
        <v>71.673000000000002</v>
      </c>
      <c r="I225" s="204">
        <v>107.584</v>
      </c>
      <c r="J225" s="204">
        <v>133.809</v>
      </c>
      <c r="K225" s="204">
        <v>165.363</v>
      </c>
      <c r="L225" s="23">
        <f>SUM(H225:K225)</f>
        <v>478.42900000000003</v>
      </c>
      <c r="M225" s="204">
        <v>127.33199999999999</v>
      </c>
      <c r="N225" s="204">
        <v>141.62100000000001</v>
      </c>
      <c r="O225" s="204">
        <v>154.34299999999999</v>
      </c>
      <c r="P225" s="204">
        <v>192.07</v>
      </c>
      <c r="Q225" s="23">
        <f>SUM(M225:P225)</f>
        <v>615.36599999999999</v>
      </c>
      <c r="R225" s="204">
        <v>152.80500000000001</v>
      </c>
      <c r="S225" s="204">
        <v>169.44300000000001</v>
      </c>
      <c r="T225" s="204">
        <v>187.6</v>
      </c>
      <c r="U225" s="204">
        <v>239.649</v>
      </c>
      <c r="V225" s="23">
        <f>SUM(R225:U225)</f>
        <v>749.49700000000007</v>
      </c>
      <c r="W225" s="204">
        <v>176.87799999999999</v>
      </c>
      <c r="X225" s="204">
        <v>203.995</v>
      </c>
      <c r="Y225" s="204">
        <v>218.38602842555892</v>
      </c>
      <c r="Z225" s="204">
        <v>288.82900000000001</v>
      </c>
      <c r="AA225" s="23">
        <f>SUM(W225:Z225)</f>
        <v>888.08802842555883</v>
      </c>
      <c r="AB225" s="204">
        <v>239.5</v>
      </c>
      <c r="AC225" s="204">
        <v>265.49943478599982</v>
      </c>
      <c r="AD225" s="204">
        <v>287.51818620211986</v>
      </c>
      <c r="AE225" s="204">
        <v>374.59300000000002</v>
      </c>
      <c r="AF225" s="23">
        <f>SUM(AB225:AE225)</f>
        <v>1167.1106209881198</v>
      </c>
      <c r="AG225" s="204">
        <v>280.13200000000001</v>
      </c>
      <c r="AH225" s="22">
        <f>((AH240)*(AH208-(AH212+AG212+AE212+AD212)*(1-$C$244)-(AC212+AB212+Z212+Y212)*(1-$C$245))/1000*3)</f>
        <v>305.81902491839753</v>
      </c>
      <c r="AI225" s="22">
        <f>((AI240)*(AI208-(AI212+AH212+AG212+AE212)*(1-$C$244)-(AD212+AC212+AB212+Z212)*(1-$C$245))/1000*3)</f>
        <v>332.09215127559031</v>
      </c>
      <c r="AJ225" s="22">
        <f>((AJ240)*(AJ208-(AJ212+AI212+AH212+AG212)*(1-$C$244)-(AE212+AD212+AC212+AB212)*(1-$C$245))/1000*3)</f>
        <v>427.42193888017908</v>
      </c>
      <c r="AK225" s="105">
        <f>SUM(AG225:AJ225)</f>
        <v>1345.465115074167</v>
      </c>
      <c r="AL225" s="22">
        <f>((AL240)*(AL208-AL212*(1-$C$244)-AK212*(1-$C$245))/1000*12)</f>
        <v>1526.7510041692842</v>
      </c>
      <c r="AM225" s="23">
        <f t="shared" ref="AM225:AT225" si="358">((AM240)*(AM208-AM212*(1-$C$244)-AL212*(1-$C$245))/1000*12)</f>
        <v>1721.5010200051338</v>
      </c>
      <c r="AN225" s="23">
        <f t="shared" si="358"/>
        <v>1929.3882355011813</v>
      </c>
      <c r="AO225" s="23">
        <f t="shared" si="358"/>
        <v>2151.1520266049038</v>
      </c>
      <c r="AP225" s="23">
        <f t="shared" si="358"/>
        <v>2387.5698998201224</v>
      </c>
      <c r="AQ225" s="23">
        <f t="shared" si="358"/>
        <v>2639.4593596499903</v>
      </c>
      <c r="AR225" s="23">
        <f t="shared" si="358"/>
        <v>2907.6798644265364</v>
      </c>
      <c r="AS225" s="23">
        <f t="shared" si="358"/>
        <v>3193.1348746097656</v>
      </c>
      <c r="AT225" s="23">
        <f t="shared" si="358"/>
        <v>3496.7739978245709</v>
      </c>
      <c r="AU225" s="8" t="s">
        <v>29</v>
      </c>
    </row>
    <row r="226" spans="2:47" ht="16.2" customHeight="1" x14ac:dyDescent="0.3">
      <c r="B226" s="24" t="s">
        <v>35</v>
      </c>
      <c r="G226" s="7"/>
      <c r="H226" s="21">
        <f>H225/C225-1</f>
        <v>0.27845956262709159</v>
      </c>
      <c r="I226" s="21">
        <f t="shared" ref="I226:K226" si="359">I225/D225-1</f>
        <v>4.8125236371494946</v>
      </c>
      <c r="J226" s="21">
        <f t="shared" si="359"/>
        <v>1.0480760400404074</v>
      </c>
      <c r="K226" s="21">
        <f t="shared" si="359"/>
        <v>0.34024136226222423</v>
      </c>
      <c r="L226" s="14">
        <f>L225/SUM(C225:F225)-1</f>
        <v>0.81713181003311974</v>
      </c>
      <c r="M226" s="21">
        <f t="shared" ref="M226:P226" si="360">M225/H225-1</f>
        <v>0.77656858231133041</v>
      </c>
      <c r="N226" s="21">
        <f t="shared" si="360"/>
        <v>0.31637604104699579</v>
      </c>
      <c r="O226" s="21">
        <f t="shared" si="360"/>
        <v>0.15345754022524627</v>
      </c>
      <c r="P226" s="21">
        <f t="shared" si="360"/>
        <v>0.16150529441289763</v>
      </c>
      <c r="Q226" s="14">
        <f>Q225/SUM(H225:K225)-1</f>
        <v>0.28622219806909688</v>
      </c>
      <c r="R226" s="21">
        <f t="shared" ref="R226:U226" si="361">R225/M225-1</f>
        <v>0.20005183300348706</v>
      </c>
      <c r="S226" s="21">
        <f t="shared" si="361"/>
        <v>0.19645391573283622</v>
      </c>
      <c r="T226" s="21">
        <f t="shared" si="361"/>
        <v>0.21547462469953294</v>
      </c>
      <c r="U226" s="21">
        <f t="shared" si="361"/>
        <v>0.2477169781850368</v>
      </c>
      <c r="V226" s="14">
        <f>V225/SUM(M225:P225)-1</f>
        <v>0.21796946857642463</v>
      </c>
      <c r="W226" s="21">
        <f t="shared" ref="W226:Z226" si="362">W225/R225-1</f>
        <v>0.15754065639213355</v>
      </c>
      <c r="X226" s="21">
        <f t="shared" si="362"/>
        <v>0.20391518091629623</v>
      </c>
      <c r="Y226" s="21">
        <f t="shared" si="362"/>
        <v>0.1641046291341095</v>
      </c>
      <c r="Z226" s="21">
        <f t="shared" si="362"/>
        <v>0.20521679623115485</v>
      </c>
      <c r="AA226" s="14">
        <f>AA225/SUM(R225:U225)-1</f>
        <v>0.18491205225045437</v>
      </c>
      <c r="AB226" s="21">
        <f t="shared" ref="AB226:AE226" si="363">AB225/W225-1</f>
        <v>0.35404063817998854</v>
      </c>
      <c r="AC226" s="21">
        <f t="shared" si="363"/>
        <v>0.30149971708130008</v>
      </c>
      <c r="AD226" s="21">
        <f t="shared" si="363"/>
        <v>0.31655943502872019</v>
      </c>
      <c r="AE226" s="21">
        <f t="shared" si="363"/>
        <v>0.29693694192757647</v>
      </c>
      <c r="AF226" s="14">
        <f>AF225/SUM(W225:Z225)-1</f>
        <v>0.31418348590648648</v>
      </c>
      <c r="AG226" s="21">
        <f t="shared" ref="AG226:AJ226" si="364">AG225/AB225-1</f>
        <v>0.1696534446764093</v>
      </c>
      <c r="AH226" s="21">
        <f t="shared" si="364"/>
        <v>0.15186318631863172</v>
      </c>
      <c r="AI226" s="21">
        <f t="shared" si="364"/>
        <v>0.15503007187912554</v>
      </c>
      <c r="AJ226" s="21">
        <f t="shared" si="364"/>
        <v>0.14103023516237378</v>
      </c>
      <c r="AK226" s="111">
        <f>AK225/SUM(AB225:AE225)-1</f>
        <v>0.15281712879542275</v>
      </c>
      <c r="AL226" s="14">
        <f>AL225/AK225-1</f>
        <v>0.13473845368716542</v>
      </c>
      <c r="AM226" s="14">
        <f>AM225/AL225-1</f>
        <v>0.12755846585593988</v>
      </c>
      <c r="AN226" s="14">
        <f t="shared" ref="AN226:AT226" si="365">AN225/AM225-1</f>
        <v>0.1207592752372737</v>
      </c>
      <c r="AO226" s="14">
        <f t="shared" si="365"/>
        <v>0.11493995196156925</v>
      </c>
      <c r="AP226" s="14">
        <f t="shared" si="365"/>
        <v>0.10990291262135932</v>
      </c>
      <c r="AQ226" s="14">
        <f t="shared" si="365"/>
        <v>0.10550034989503132</v>
      </c>
      <c r="AR226" s="14">
        <f t="shared" si="365"/>
        <v>0.10161948650427943</v>
      </c>
      <c r="AS226" s="14">
        <f t="shared" si="365"/>
        <v>9.8172778123057913E-2</v>
      </c>
      <c r="AT226" s="14">
        <f t="shared" si="365"/>
        <v>9.5091230135373905E-2</v>
      </c>
      <c r="AU226" s="8" t="s">
        <v>29</v>
      </c>
    </row>
    <row r="227" spans="2:47" ht="16.2" customHeight="1" x14ac:dyDescent="0.3">
      <c r="B227" s="24" t="s">
        <v>153</v>
      </c>
      <c r="C227" s="21">
        <f>C225/C$218</f>
        <v>0.5673343396160454</v>
      </c>
      <c r="D227" s="21">
        <f t="shared" ref="D227:AJ227" si="366">D225/D$218</f>
        <v>0.45848982608697875</v>
      </c>
      <c r="E227" s="21">
        <f t="shared" si="366"/>
        <v>0.54805345144323925</v>
      </c>
      <c r="F227" s="21">
        <f t="shared" si="366"/>
        <v>0.57493872377703836</v>
      </c>
      <c r="G227" s="14">
        <f>G225/G218</f>
        <v>0.55663542629054186</v>
      </c>
      <c r="H227" s="21">
        <f t="shared" si="366"/>
        <v>0.57544639989723168</v>
      </c>
      <c r="I227" s="21">
        <f t="shared" si="366"/>
        <v>0.60872714104653258</v>
      </c>
      <c r="J227" s="21">
        <f t="shared" si="366"/>
        <v>0.61403090138996608</v>
      </c>
      <c r="K227" s="21">
        <f t="shared" si="366"/>
        <v>0.59753488809071265</v>
      </c>
      <c r="L227" s="14">
        <f>L225/L218</f>
        <v>0.60107996869146141</v>
      </c>
      <c r="M227" s="21">
        <f t="shared" si="366"/>
        <v>0.60812959982424553</v>
      </c>
      <c r="N227" s="21">
        <f t="shared" si="366"/>
        <v>0.63872940560970215</v>
      </c>
      <c r="O227" s="21">
        <f t="shared" si="366"/>
        <v>0.63218536753201005</v>
      </c>
      <c r="P227" s="21">
        <f t="shared" si="366"/>
        <v>0.59114831799575263</v>
      </c>
      <c r="Q227" s="14">
        <f>Q225/Q218</f>
        <v>0.61526878753156988</v>
      </c>
      <c r="R227" s="21">
        <f t="shared" si="366"/>
        <v>0.62025840548472344</v>
      </c>
      <c r="S227" s="21">
        <f t="shared" si="366"/>
        <v>0.64346746263215471</v>
      </c>
      <c r="T227" s="21">
        <f t="shared" si="366"/>
        <v>0.63787827269636188</v>
      </c>
      <c r="U227" s="21">
        <f t="shared" si="366"/>
        <v>0.61391634922546057</v>
      </c>
      <c r="V227" s="14">
        <f>V225/V218</f>
        <v>0.62764268355795705</v>
      </c>
      <c r="W227" s="21">
        <f t="shared" si="366"/>
        <v>0.62149247018643583</v>
      </c>
      <c r="X227" s="21">
        <f t="shared" si="366"/>
        <v>0.6373369908208727</v>
      </c>
      <c r="Y227" s="21">
        <f t="shared" si="366"/>
        <v>0.63431240309543024</v>
      </c>
      <c r="Z227" s="21">
        <f t="shared" si="366"/>
        <v>0.62032520849038564</v>
      </c>
      <c r="AA227" s="14">
        <f>AA225/AA218</f>
        <v>0.62781358572890877</v>
      </c>
      <c r="AB227" s="21">
        <f t="shared" si="366"/>
        <v>0.62919022298816751</v>
      </c>
      <c r="AC227" s="21">
        <f t="shared" si="366"/>
        <v>0.6492219118416046</v>
      </c>
      <c r="AD227" s="21">
        <f t="shared" si="366"/>
        <v>0.6509365247140112</v>
      </c>
      <c r="AE227" s="21">
        <f t="shared" si="366"/>
        <v>0.63700225828832624</v>
      </c>
      <c r="AF227" s="14">
        <f>AF225/AF218</f>
        <v>0.6414974537632403</v>
      </c>
      <c r="AG227" s="21">
        <f t="shared" si="366"/>
        <v>0.63249491984646655</v>
      </c>
      <c r="AH227" s="21">
        <f t="shared" si="366"/>
        <v>0.65629097162056449</v>
      </c>
      <c r="AI227" s="21">
        <f t="shared" si="366"/>
        <v>0.65593684598941149</v>
      </c>
      <c r="AJ227" s="21">
        <f t="shared" si="366"/>
        <v>0.63480738298795381</v>
      </c>
      <c r="AK227" s="111">
        <f>AK225/AK218</f>
        <v>0.6442325842440334</v>
      </c>
      <c r="AL227" s="14">
        <f>AL225/AL218</f>
        <v>0.64102491819843388</v>
      </c>
      <c r="AM227" s="14">
        <f>AM225/AM218</f>
        <v>0.6367142881129676</v>
      </c>
      <c r="AN227" s="14">
        <f t="shared" ref="AN227:AT227" si="367">AN225/AN218</f>
        <v>0.6327106539621552</v>
      </c>
      <c r="AO227" s="14">
        <f t="shared" si="367"/>
        <v>0.62895383023548079</v>
      </c>
      <c r="AP227" s="14">
        <f t="shared" si="367"/>
        <v>0.62539916357089809</v>
      </c>
      <c r="AQ227" s="14">
        <f t="shared" si="367"/>
        <v>0.62201281246536888</v>
      </c>
      <c r="AR227" s="14">
        <f t="shared" si="367"/>
        <v>0.61876865004273651</v>
      </c>
      <c r="AS227" s="14">
        <f t="shared" si="367"/>
        <v>0.61564617406582867</v>
      </c>
      <c r="AT227" s="14">
        <f t="shared" si="367"/>
        <v>0.61262906167800346</v>
      </c>
      <c r="AU227" s="8" t="s">
        <v>29</v>
      </c>
    </row>
    <row r="228" spans="2:47" ht="7.95" customHeight="1" x14ac:dyDescent="0.3">
      <c r="G228" s="7"/>
      <c r="L228" s="7"/>
      <c r="Q228" s="7"/>
      <c r="V228" s="7"/>
      <c r="AA228" s="7"/>
      <c r="AF228" s="7"/>
      <c r="AK228" s="103"/>
      <c r="AL228" s="7"/>
      <c r="AM228" s="7"/>
      <c r="AN228" s="7"/>
      <c r="AO228" s="7"/>
      <c r="AP228" s="7"/>
      <c r="AQ228" s="7"/>
      <c r="AR228" s="7"/>
      <c r="AS228" s="7"/>
      <c r="AT228" s="7"/>
      <c r="AU228" s="8" t="s">
        <v>29</v>
      </c>
    </row>
    <row r="229" spans="2:47" ht="16.2" customHeight="1" x14ac:dyDescent="0.3">
      <c r="B229" s="20" t="s">
        <v>154</v>
      </c>
      <c r="C229" s="204">
        <v>5.9414599999999993</v>
      </c>
      <c r="D229" s="204">
        <v>16.48254</v>
      </c>
      <c r="E229" s="204">
        <v>16.46</v>
      </c>
      <c r="F229" s="204">
        <v>14.167</v>
      </c>
      <c r="G229" s="23">
        <f>SUM(C229:F229)</f>
        <v>53.051000000000002</v>
      </c>
      <c r="H229" s="204">
        <v>12.996</v>
      </c>
      <c r="I229" s="204">
        <v>11.669</v>
      </c>
      <c r="J229" s="204">
        <v>8.6059999999999999</v>
      </c>
      <c r="K229" s="204">
        <v>6.2290000000000001</v>
      </c>
      <c r="L229" s="23">
        <f>SUM(H229:K229)</f>
        <v>39.5</v>
      </c>
      <c r="M229" s="204">
        <v>8.2010000000000005</v>
      </c>
      <c r="N229" s="204">
        <v>3.798</v>
      </c>
      <c r="O229" s="204">
        <v>5.7590000000000003</v>
      </c>
      <c r="P229" s="204">
        <v>5.8570000000000002</v>
      </c>
      <c r="Q229" s="23">
        <f>SUM(M229:P229)</f>
        <v>23.615000000000002</v>
      </c>
      <c r="R229" s="204">
        <v>3.9740000000000002</v>
      </c>
      <c r="S229" s="204">
        <v>2.806</v>
      </c>
      <c r="T229" s="204">
        <v>4.9000000000000004</v>
      </c>
      <c r="U229" s="204">
        <v>7.85</v>
      </c>
      <c r="V229" s="23">
        <f>SUM(R229:U229)</f>
        <v>19.53</v>
      </c>
      <c r="W229" s="204">
        <v>8.84</v>
      </c>
      <c r="X229" s="204">
        <v>7.3140000000000001</v>
      </c>
      <c r="Y229" s="204">
        <v>11.785139389999999</v>
      </c>
      <c r="Z229" s="204">
        <v>11.712999999999999</v>
      </c>
      <c r="AA229" s="23">
        <f>SUM(W229:Z229)</f>
        <v>39.652139390000002</v>
      </c>
      <c r="AB229" s="204">
        <v>12.625</v>
      </c>
      <c r="AC229" s="204">
        <v>12.902525880000001</v>
      </c>
      <c r="AD229" s="204">
        <v>13.648773270000001</v>
      </c>
      <c r="AE229" s="204">
        <v>15.952999999999999</v>
      </c>
      <c r="AF229" s="23">
        <f>SUM(AB229:AE229)</f>
        <v>55.129299149999994</v>
      </c>
      <c r="AG229" s="204">
        <v>18.952000000000002</v>
      </c>
      <c r="AH229" s="22">
        <f>AH232*(AH221+AH225)</f>
        <v>13.572257772108241</v>
      </c>
      <c r="AI229" s="22">
        <f t="shared" ref="AI229:AJ229" si="368">AI232*(AI221+AI225)</f>
        <v>15.22297775779621</v>
      </c>
      <c r="AJ229" s="22">
        <f t="shared" si="368"/>
        <v>20.877818703473494</v>
      </c>
      <c r="AK229" s="105">
        <f>SUM(AG229:AJ229)</f>
        <v>68.625054233377938</v>
      </c>
      <c r="AL229" s="23">
        <f>AL232*(AL221+AL225)</f>
        <v>87.137947727488296</v>
      </c>
      <c r="AM229" s="23">
        <f>AM232*(AM221+AM225)</f>
        <v>108.91781501861003</v>
      </c>
      <c r="AN229" s="23">
        <f t="shared" ref="AN229:AT229" si="369">AN232*(AN221+AN225)</f>
        <v>134.03477275621108</v>
      </c>
      <c r="AO229" s="23">
        <f t="shared" si="369"/>
        <v>162.79030525952615</v>
      </c>
      <c r="AP229" s="23">
        <f t="shared" si="369"/>
        <v>195.50745084346158</v>
      </c>
      <c r="AQ229" s="23">
        <f t="shared" si="369"/>
        <v>232.53215474713232</v>
      </c>
      <c r="AR229" s="23">
        <f t="shared" si="369"/>
        <v>274.23470024964041</v>
      </c>
      <c r="AS229" s="23">
        <f t="shared" si="369"/>
        <v>321.01122224096252</v>
      </c>
      <c r="AT229" s="23">
        <f t="shared" si="369"/>
        <v>373.28530773924831</v>
      </c>
      <c r="AU229" s="8" t="s">
        <v>29</v>
      </c>
    </row>
    <row r="230" spans="2:47" ht="16.2" customHeight="1" x14ac:dyDescent="0.3">
      <c r="B230" s="24" t="s">
        <v>35</v>
      </c>
      <c r="G230" s="7"/>
      <c r="H230" s="21">
        <f>H229/C229-1</f>
        <v>1.1873411585704527</v>
      </c>
      <c r="I230" s="21">
        <f t="shared" ref="I230:K230" si="370">I229/D229-1</f>
        <v>-0.29203872704085654</v>
      </c>
      <c r="J230" s="21">
        <f t="shared" si="370"/>
        <v>-0.47715674362089922</v>
      </c>
      <c r="K230" s="21">
        <f t="shared" si="370"/>
        <v>-0.56031622785346225</v>
      </c>
      <c r="L230" s="14">
        <f>L229/SUM(C229:F229)-1</f>
        <v>-0.25543345083033309</v>
      </c>
      <c r="M230" s="21">
        <f t="shared" ref="M230:P230" si="371">M229/H229-1</f>
        <v>-0.36895967990150813</v>
      </c>
      <c r="N230" s="21">
        <f t="shared" si="371"/>
        <v>-0.67452223840946091</v>
      </c>
      <c r="O230" s="21">
        <f t="shared" si="371"/>
        <v>-0.33081570996978849</v>
      </c>
      <c r="P230" s="21">
        <f t="shared" si="371"/>
        <v>-5.9720661422379195E-2</v>
      </c>
      <c r="Q230" s="14">
        <f>Q229/SUM(H229:K229)-1</f>
        <v>-0.40215189873417712</v>
      </c>
      <c r="R230" s="21">
        <f t="shared" ref="R230:U230" si="372">R229/M229-1</f>
        <v>-0.51542494817705165</v>
      </c>
      <c r="S230" s="21">
        <f t="shared" si="372"/>
        <v>-0.2611901000526593</v>
      </c>
      <c r="T230" s="21">
        <f t="shared" si="372"/>
        <v>-0.14915783990276088</v>
      </c>
      <c r="U230" s="21">
        <f t="shared" si="372"/>
        <v>0.34027659211200256</v>
      </c>
      <c r="V230" s="14">
        <f>V229/SUM(M229:P229)-1</f>
        <v>-0.17298327334321406</v>
      </c>
      <c r="W230" s="21">
        <f t="shared" ref="W230:Z230" si="373">W229/R229-1</f>
        <v>1.2244589833920481</v>
      </c>
      <c r="X230" s="21">
        <f t="shared" si="373"/>
        <v>1.6065573770491803</v>
      </c>
      <c r="Y230" s="21">
        <f t="shared" si="373"/>
        <v>1.4051304877551019</v>
      </c>
      <c r="Z230" s="21">
        <f t="shared" si="373"/>
        <v>0.49210191082802535</v>
      </c>
      <c r="AA230" s="14">
        <f>AA229/SUM(R229:U229)-1</f>
        <v>1.0303194772145416</v>
      </c>
      <c r="AB230" s="21">
        <f t="shared" ref="AB230:AE230" si="374">AB229/W229-1</f>
        <v>0.42816742081447967</v>
      </c>
      <c r="AC230" s="21">
        <f t="shared" si="374"/>
        <v>0.7640861197703035</v>
      </c>
      <c r="AD230" s="21">
        <f t="shared" si="374"/>
        <v>0.15813422466443994</v>
      </c>
      <c r="AE230" s="21">
        <f t="shared" si="374"/>
        <v>0.36199095022624439</v>
      </c>
      <c r="AF230" s="14">
        <f>AF229/SUM(W229:Z229)-1</f>
        <v>0.3903234478163673</v>
      </c>
      <c r="AG230" s="21">
        <f t="shared" ref="AG230:AJ230" si="375">AG229/AB229-1</f>
        <v>0.50114851485148537</v>
      </c>
      <c r="AH230" s="21">
        <f t="shared" si="375"/>
        <v>5.1907037299292025E-2</v>
      </c>
      <c r="AI230" s="21">
        <f t="shared" si="375"/>
        <v>0.11533670144966868</v>
      </c>
      <c r="AJ230" s="21">
        <f t="shared" si="375"/>
        <v>0.30870799871331389</v>
      </c>
      <c r="AK230" s="111">
        <f>AK229/SUM(AB229:AE229)-1</f>
        <v>0.24480186201275056</v>
      </c>
      <c r="AL230" s="14">
        <f>AL229/AK229-1</f>
        <v>0.26976872661043427</v>
      </c>
      <c r="AM230" s="14">
        <f>AM229/AL229-1</f>
        <v>0.24994698474234456</v>
      </c>
      <c r="AN230" s="14">
        <f t="shared" ref="AN230:AT230" si="376">AN229/AM229-1</f>
        <v>0.23060467870485191</v>
      </c>
      <c r="AO230" s="14">
        <f t="shared" si="376"/>
        <v>0.21453785396135228</v>
      </c>
      <c r="AP230" s="14">
        <f t="shared" si="376"/>
        <v>0.2009772359095745</v>
      </c>
      <c r="AQ230" s="14">
        <f t="shared" si="376"/>
        <v>0.18937745719632737</v>
      </c>
      <c r="AR230" s="14">
        <f t="shared" si="376"/>
        <v>0.17934098425165157</v>
      </c>
      <c r="AS230" s="14">
        <f t="shared" si="376"/>
        <v>0.17057112739102909</v>
      </c>
      <c r="AT230" s="14">
        <f t="shared" si="376"/>
        <v>0.16284192537993891</v>
      </c>
      <c r="AU230" s="8" t="s">
        <v>29</v>
      </c>
    </row>
    <row r="231" spans="2:47" ht="16.2" customHeight="1" x14ac:dyDescent="0.3">
      <c r="B231" s="24" t="s">
        <v>153</v>
      </c>
      <c r="C231" s="21">
        <f>C229/C$218</f>
        <v>6.0126186819149309E-2</v>
      </c>
      <c r="D231" s="21">
        <f t="shared" ref="D231:AJ231" si="377">D229/D$218</f>
        <v>0.40829201459137021</v>
      </c>
      <c r="E231" s="21">
        <f t="shared" si="377"/>
        <v>0.13807450654721459</v>
      </c>
      <c r="F231" s="21">
        <f t="shared" si="377"/>
        <v>6.601522818985843E-2</v>
      </c>
      <c r="G231" s="14">
        <f>G229/G218</f>
        <v>0.11215879949006234</v>
      </c>
      <c r="H231" s="21">
        <f t="shared" si="377"/>
        <v>0.10434196159033977</v>
      </c>
      <c r="I231" s="21">
        <f t="shared" si="377"/>
        <v>6.6025031685678068E-2</v>
      </c>
      <c r="J231" s="21">
        <f t="shared" si="377"/>
        <v>3.9491737755771646E-2</v>
      </c>
      <c r="K231" s="21">
        <f t="shared" si="377"/>
        <v>2.2508329057389191E-2</v>
      </c>
      <c r="L231" s="14">
        <f>L229/L218</f>
        <v>4.9626295152076325E-2</v>
      </c>
      <c r="M231" s="21">
        <f t="shared" si="377"/>
        <v>3.9167458676205809E-2</v>
      </c>
      <c r="N231" s="21">
        <f t="shared" si="377"/>
        <v>1.712948137991999E-2</v>
      </c>
      <c r="O231" s="21">
        <f t="shared" si="377"/>
        <v>2.3588731148266175E-2</v>
      </c>
      <c r="P231" s="21">
        <f t="shared" si="377"/>
        <v>1.802653042380967E-2</v>
      </c>
      <c r="Q231" s="14">
        <f>Q229/Q218</f>
        <v>2.361126941943173E-2</v>
      </c>
      <c r="R231" s="21">
        <f t="shared" si="377"/>
        <v>1.6131061833030928E-2</v>
      </c>
      <c r="S231" s="21">
        <f t="shared" si="377"/>
        <v>1.0655912018471261E-2</v>
      </c>
      <c r="T231" s="21">
        <f t="shared" si="377"/>
        <v>1.6660999659979601E-2</v>
      </c>
      <c r="U231" s="21">
        <f t="shared" si="377"/>
        <v>2.0109590865890804E-2</v>
      </c>
      <c r="V231" s="14">
        <f>V229/V218</f>
        <v>1.6354784088377809E-2</v>
      </c>
      <c r="W231" s="21">
        <f t="shared" si="377"/>
        <v>3.1060920162191412E-2</v>
      </c>
      <c r="X231" s="21">
        <f t="shared" si="377"/>
        <v>2.2850965714178596E-2</v>
      </c>
      <c r="Y231" s="21">
        <f t="shared" si="377"/>
        <v>3.4230486909713947E-2</v>
      </c>
      <c r="Z231" s="21">
        <f t="shared" si="377"/>
        <v>2.515630067288218E-2</v>
      </c>
      <c r="AA231" s="14">
        <f>AA229/AA218</f>
        <v>2.8031175981948372E-2</v>
      </c>
      <c r="AB231" s="21">
        <f t="shared" si="377"/>
        <v>3.3167125533301103E-2</v>
      </c>
      <c r="AC231" s="21">
        <f t="shared" si="377"/>
        <v>3.1550359141634954E-2</v>
      </c>
      <c r="AD231" s="21">
        <f t="shared" si="377"/>
        <v>3.0900601997877329E-2</v>
      </c>
      <c r="AE231" s="21">
        <f t="shared" si="377"/>
        <v>2.7128368726787921E-2</v>
      </c>
      <c r="AF231" s="14">
        <f>AF229/AF218</f>
        <v>3.0301587867082699E-2</v>
      </c>
      <c r="AG231" s="21">
        <f t="shared" si="377"/>
        <v>4.2790697674418614E-2</v>
      </c>
      <c r="AH231" s="21">
        <f t="shared" si="377"/>
        <v>2.9126213592233007E-2</v>
      </c>
      <c r="AI231" s="21">
        <f t="shared" si="377"/>
        <v>3.0067895247332686E-2</v>
      </c>
      <c r="AJ231" s="21">
        <f t="shared" si="377"/>
        <v>3.1007751937984496E-2</v>
      </c>
      <c r="AK231" s="111">
        <f>AK229/AK218</f>
        <v>3.2858894323855414E-2</v>
      </c>
      <c r="AL231" s="14">
        <f>AL229/AL218</f>
        <v>3.6585923743593735E-2</v>
      </c>
      <c r="AM231" s="14">
        <f>AM229/AM218</f>
        <v>4.0284338055278854E-2</v>
      </c>
      <c r="AN231" s="14">
        <f t="shared" ref="AN231:AT231" si="378">AN229/AN218</f>
        <v>4.3954465547066023E-2</v>
      </c>
      <c r="AO231" s="14">
        <f t="shared" si="378"/>
        <v>4.7596629504506591E-2</v>
      </c>
      <c r="AP231" s="14">
        <f t="shared" si="378"/>
        <v>5.1211148305476246E-2</v>
      </c>
      <c r="AQ231" s="14">
        <f t="shared" si="378"/>
        <v>5.4798335512949929E-2</v>
      </c>
      <c r="AR231" s="14">
        <f t="shared" si="378"/>
        <v>5.8358499965680016E-2</v>
      </c>
      <c r="AS231" s="14">
        <f t="shared" si="378"/>
        <v>6.1891945866832949E-2</v>
      </c>
      <c r="AT231" s="14">
        <f t="shared" si="378"/>
        <v>6.53989728706377E-2</v>
      </c>
      <c r="AU231" s="8" t="s">
        <v>29</v>
      </c>
    </row>
    <row r="232" spans="2:47" ht="16.2" customHeight="1" x14ac:dyDescent="0.3">
      <c r="B232" s="24" t="s">
        <v>155</v>
      </c>
      <c r="C232" s="21">
        <f>C229/(C225+C221)</f>
        <v>6.3972616297992141E-2</v>
      </c>
      <c r="D232" s="21">
        <f t="shared" ref="D232:AG232" si="379">D229/(D225+D221)</f>
        <v>0.69002282318263186</v>
      </c>
      <c r="E232" s="21">
        <f t="shared" si="379"/>
        <v>0.16019308814512753</v>
      </c>
      <c r="F232" s="21">
        <f t="shared" si="379"/>
        <v>7.0681268241574571E-2</v>
      </c>
      <c r="G232" s="14">
        <f>G229/(G225+G221)</f>
        <v>0.12632754531513424</v>
      </c>
      <c r="H232" s="21">
        <f t="shared" si="379"/>
        <v>0.11649754383448671</v>
      </c>
      <c r="I232" s="21">
        <f t="shared" si="379"/>
        <v>7.0692506679106065E-2</v>
      </c>
      <c r="J232" s="21">
        <f t="shared" si="379"/>
        <v>4.1115458667163533E-2</v>
      </c>
      <c r="K232" s="21">
        <f t="shared" si="379"/>
        <v>2.3026619792764116E-2</v>
      </c>
      <c r="L232" s="14">
        <f>L229/(L225+L221)</f>
        <v>5.2217664376580569E-2</v>
      </c>
      <c r="M232" s="21">
        <f t="shared" si="379"/>
        <v>4.0764084262011516E-2</v>
      </c>
      <c r="N232" s="21">
        <f t="shared" si="379"/>
        <v>1.7428014225077434E-2</v>
      </c>
      <c r="O232" s="21">
        <f t="shared" si="379"/>
        <v>2.4158601913727071E-2</v>
      </c>
      <c r="P232" s="21">
        <f t="shared" si="379"/>
        <v>1.8357451583279269E-2</v>
      </c>
      <c r="Q232" s="14">
        <f>Q229/(Q225+Q221)</f>
        <v>2.4182242871025651E-2</v>
      </c>
      <c r="R232" s="21">
        <f t="shared" si="379"/>
        <v>1.6395539291121902E-2</v>
      </c>
      <c r="S232" s="21">
        <f t="shared" si="379"/>
        <v>1.0770683473948458E-2</v>
      </c>
      <c r="T232" s="21">
        <f t="shared" si="379"/>
        <v>1.6943291839557402E-2</v>
      </c>
      <c r="U232" s="21">
        <f t="shared" si="379"/>
        <v>2.0522285633615765E-2</v>
      </c>
      <c r="V232" s="14">
        <f>V229/(V225+V221)</f>
        <v>1.6626710346189736E-2</v>
      </c>
      <c r="W232" s="21">
        <f t="shared" si="379"/>
        <v>3.2056628542003612E-2</v>
      </c>
      <c r="X232" s="21">
        <f t="shared" si="379"/>
        <v>2.3385343394295946E-2</v>
      </c>
      <c r="Y232" s="21">
        <f t="shared" si="379"/>
        <v>3.544374350789211E-2</v>
      </c>
      <c r="Z232" s="21">
        <f t="shared" si="379"/>
        <v>2.5805470856760136E-2</v>
      </c>
      <c r="AA232" s="14">
        <f>AA229/(AA225+AA221)</f>
        <v>2.8839583420041639E-2</v>
      </c>
      <c r="AB232" s="21">
        <f t="shared" si="379"/>
        <v>3.4304921159818813E-2</v>
      </c>
      <c r="AC232" s="21">
        <f t="shared" si="379"/>
        <v>3.2578213477028037E-2</v>
      </c>
      <c r="AD232" s="21">
        <f t="shared" si="379"/>
        <v>3.1885895359734448E-2</v>
      </c>
      <c r="AE232" s="21">
        <f t="shared" si="379"/>
        <v>2.7884838918866003E-2</v>
      </c>
      <c r="AF232" s="14">
        <f>AF229/(AF225+AF221)</f>
        <v>3.124846600545865E-2</v>
      </c>
      <c r="AG232" s="21">
        <f t="shared" si="379"/>
        <v>4.470359572400389E-2</v>
      </c>
      <c r="AH232" s="15">
        <v>0.03</v>
      </c>
      <c r="AI232" s="15">
        <f>AH232+0.1%</f>
        <v>3.1E-2</v>
      </c>
      <c r="AJ232" s="15">
        <f t="shared" ref="AJ232" si="380">AI232+0.1%</f>
        <v>3.2000000000000001E-2</v>
      </c>
      <c r="AK232" s="111">
        <f>AK229/(AK225+AK221)</f>
        <v>3.3975284610494559E-2</v>
      </c>
      <c r="AL232" s="17">
        <f>AK232+0.004</f>
        <v>3.7975284610494556E-2</v>
      </c>
      <c r="AM232" s="17">
        <f>AL232+0.004</f>
        <v>4.1975284610494559E-2</v>
      </c>
      <c r="AN232" s="17">
        <f t="shared" ref="AN232:AT232" si="381">AM232+0.004</f>
        <v>4.5975284610494563E-2</v>
      </c>
      <c r="AO232" s="17">
        <f t="shared" si="381"/>
        <v>4.9975284610494566E-2</v>
      </c>
      <c r="AP232" s="17">
        <f t="shared" si="381"/>
        <v>5.397528461049457E-2</v>
      </c>
      <c r="AQ232" s="17">
        <f t="shared" si="381"/>
        <v>5.7975284610494573E-2</v>
      </c>
      <c r="AR232" s="17">
        <f t="shared" si="381"/>
        <v>6.1975284610494577E-2</v>
      </c>
      <c r="AS232" s="17">
        <f t="shared" si="381"/>
        <v>6.5975284610494581E-2</v>
      </c>
      <c r="AT232" s="17">
        <f t="shared" si="381"/>
        <v>6.9975284610494584E-2</v>
      </c>
      <c r="AU232" s="8" t="s">
        <v>29</v>
      </c>
    </row>
    <row r="233" spans="2:47" ht="7.95" customHeight="1" x14ac:dyDescent="0.3">
      <c r="G233" s="7"/>
      <c r="L233" s="7"/>
      <c r="Q233" s="7"/>
      <c r="V233" s="7"/>
      <c r="AA233" s="7"/>
      <c r="AF233" s="7"/>
      <c r="AK233" s="103"/>
      <c r="AL233" s="7"/>
      <c r="AM233" s="7"/>
      <c r="AN233" s="7"/>
      <c r="AO233" s="7"/>
      <c r="AP233" s="7"/>
      <c r="AQ233" s="7"/>
      <c r="AR233" s="7"/>
      <c r="AS233" s="7"/>
      <c r="AT233" s="7"/>
      <c r="AU233" s="8" t="s">
        <v>29</v>
      </c>
    </row>
    <row r="234" spans="2:47" ht="16.2" customHeight="1" x14ac:dyDescent="0.3">
      <c r="B234" s="5" t="s">
        <v>156</v>
      </c>
      <c r="C234" s="67"/>
      <c r="D234" s="67">
        <f t="shared" ref="D234:E234" si="382">(D221+D225)/AVERAGE(C206:D206)*1000/3</f>
        <v>34.026992905982901</v>
      </c>
      <c r="E234" s="67">
        <f t="shared" si="382"/>
        <v>145.12853107344634</v>
      </c>
      <c r="F234" s="67">
        <f>(F221+F225)/AVERAGE(E206:F206)*1000/3</f>
        <v>267.78223112892454</v>
      </c>
      <c r="G234" s="68">
        <f>((G221+G225)/(G206-G210*(1-$C$244))*1000/12)</f>
        <v>144.90959282263631</v>
      </c>
      <c r="H234" s="67">
        <f>((H221+H225)/(H206-(H210+F210+E210+D210)*(1-$C$244)-(C210)*(1-$C$245))*1000/3)</f>
        <v>151.34445801112471</v>
      </c>
      <c r="I234" s="67">
        <f>((I221+I225)/(I206-(I210+H210+F210+E210)*(1-$C$244)-(D210+C210)*(1-$C$245))*1000/3)</f>
        <v>220.61881849772786</v>
      </c>
      <c r="J234" s="67">
        <f>((J221+J225)/(J206-(J210+I210+H210+F210)*(1-$C$244)-(E210+D210+C210)*(1-$C$245))*1000/3)</f>
        <v>272.4365482233502</v>
      </c>
      <c r="K234" s="67">
        <f>((K221+K225)/(K206-(K210+J210+I210+H210)*(1-$C$244)-(F210+E210+D210+C210)*(1-$C$245))*1000/3)</f>
        <v>329.27149899580064</v>
      </c>
      <c r="L234" s="68">
        <f>((L221+L225)/(L206-L210*(1-$C$244)-G210*(1-$C$245))*1000/12)</f>
        <v>230.18958067068345</v>
      </c>
      <c r="M234" s="67">
        <f>((M221+M225)/(M206-(M210+K210+J210+I210)*(1-$C$244)-(H210+F210+E210+D210)*(1-$C$245))*1000/3)</f>
        <v>242.40255437074526</v>
      </c>
      <c r="N234" s="67">
        <f>((N221+N225)/(N206-(N210+M210+K210+J210)*(1-$C$244)-(I210+H210+F210+E210)*(1-$C$245))*1000/3)</f>
        <v>255.73549257759782</v>
      </c>
      <c r="O234" s="67">
        <f>((O221+O225)/(O206-(O210+N210+M210+K210)*(1-$C$244)-(J210+I210+H210+F210)*(1-$C$245))*1000/3)</f>
        <v>273.01494588558666</v>
      </c>
      <c r="P234" s="67">
        <f t="shared" ref="M234:P234" si="383">((P221+P225)/(P206-(P210+O210+N210+M210)*(1-$C$244)-(K210+J210+I210+H210)*(1-$C$245))*1000/3)</f>
        <v>344.06664509867352</v>
      </c>
      <c r="Q234" s="68">
        <f>((Q221+Q225)/(Q206-Q210*(1-$C$244)-L210*(1-$C$245))*1000/12)</f>
        <v>263.27590855170922</v>
      </c>
      <c r="R234" s="67">
        <f>((R221+R225)/(R206-(R210+P210+O210+N210)*(1-$C$244)-(M210+K210+J210+I210)*(1-$C$245))*1000/3)</f>
        <v>259.53849448549096</v>
      </c>
      <c r="S234" s="67">
        <f>((S221+S225)/(S206-(S210+R210+P210+O210)*(1-$C$244)-(N210+M210+K210+J210)*(1-$C$245))*1000/3)</f>
        <v>272.91221454012151</v>
      </c>
      <c r="T234" s="67">
        <f>((T221+T225)/(T206-(T210+S210+R210+P210)*(1-$C$244)-(O210+N210+M210+K210)*(1-$C$245))*1000/3)</f>
        <v>297.76061776061778</v>
      </c>
      <c r="U234" s="67">
        <f t="shared" ref="U234" si="384">((U221+U225)/(U206-(U210+T210+S210+R210)*(1-$C$244)-(P210+O210+N210+M210)*(1-$C$245))*1000/3)</f>
        <v>374.95564377787576</v>
      </c>
      <c r="V234" s="68">
        <f>((V221+V225)/(V206-V210*(1-$C$244)-Q210*(1-$C$245))*1000/12)</f>
        <v>287.85374699799053</v>
      </c>
      <c r="W234" s="67">
        <f>((W221+W225)/(W206-(W210+U210+T210+S210)*(1-$C$244)-(R210+P210+O210+N210)*(1-$C$245))*1000/3)</f>
        <v>268.45989096573209</v>
      </c>
      <c r="X234" s="67">
        <f>((X221+X225)/(X206-(X210+W210+U210+T210)*(1-$C$244)-(S210+R210+P210+O210)*(1-$C$245))*1000/3)</f>
        <v>296.04808556959631</v>
      </c>
      <c r="Y234" s="67">
        <f>((Y221+Y225)/(Y206-(Y210+X210+W210+U210)*(1-$C$244)-(T210+S210+R210+P210)*(1-$C$245))*1000/3)</f>
        <v>309.76585717864617</v>
      </c>
      <c r="Z234" s="67">
        <f t="shared" ref="Z234" si="385">((Z221+Z225)/(Z206-(Z210+Y210+X210+W210)*(1-$C$244)-(U210+T210+S210+R210)*(1-$C$245))*1000/3)</f>
        <v>404.21765072579933</v>
      </c>
      <c r="AA234" s="68">
        <f>((AA221+AA225)/(AA206-AA210*(1-$C$244)-V210*(1-$C$245))*1000/12)</f>
        <v>306.10933099464756</v>
      </c>
      <c r="AB234" s="67">
        <f>((AB221+AB225)/(AB206-(AB210+Z210+Y210+X210)*(1-$C$244)-(W210+U210+T210+S210)*(1-$C$245))*1000/3)</f>
        <v>325.00816885238663</v>
      </c>
      <c r="AC234" s="67">
        <f>((AC221+AC225)/(AC206-(AC210+AB210+Z210+Y210)*(1-$C$244)-(X210+W210+U210+T210)*(1-$C$245))*1000/3)</f>
        <v>343.12123060515472</v>
      </c>
      <c r="AD234" s="67">
        <f>((AD221+AD225)/(AD206-(AD210+AC210+AB210+Z210)*(1-$C$244)-(Y210+X210+W210+U210)*(1-$C$245))*1000/3)</f>
        <v>362.7854007137214</v>
      </c>
      <c r="AE234" s="67">
        <f t="shared" ref="AE234" si="386">((AE221+AE225)/(AE206-(AE210+AD210+AC210+AB210)*(1-$C$244)-(Z210+Y210+X210+W210)*(1-$C$245))*1000/3)</f>
        <v>464.38816510410334</v>
      </c>
      <c r="AF234" s="68">
        <f>((AF221+AF225)/(AF206-AF210*(1-$C$244)-AA210*(1-$C$245))*1000/12)</f>
        <v>358.01456526809528</v>
      </c>
      <c r="AG234" s="67">
        <f>((AG221+AG225)/(AG206-(AG210+AE210+AD210+AC210)*(1-$C$244)-(AB210+Z210+Y210+X210)*(1-$C$245))*1000/3)</f>
        <v>340.23353798001682</v>
      </c>
      <c r="AH234" s="67">
        <f>((AH221+AH225)/(AH206-(AH210+AG210+AE210+AD210)*(1-$C$244)-(AC210+AB210+Z210+Y210)*(1-$C$245))*1000/3)</f>
        <v>355.08091390283971</v>
      </c>
      <c r="AI234" s="67">
        <f>((AI221+AI225)/(AI206-(AI210+AH210+AG210+AE210)*(1-$C$244)-(AD210+AC210+AB210+Z210)*(1-$C$245))*1000/3)</f>
        <v>375.77578714308805</v>
      </c>
      <c r="AJ234" s="67">
        <f>((AJ221+AJ225)/(AJ206-(AJ210+AI210+AH210+AG210)*(1-$C$244)-(AE210+AD210+AC210+AB210)*(1-$C$245))*1000/3)</f>
        <v>482.80004031786484</v>
      </c>
      <c r="AK234" s="68">
        <f>((AK221+AK225)/(AK206-AK210*(1-$C$244)-AF210*(1-$C$245))*1000/12)</f>
        <v>373.67303539529775</v>
      </c>
      <c r="AL234" s="68">
        <f>((AL221+AL225)/(AL206-AL210*(1-$C$244)-AK210*(1-$C$245))*1000/12)</f>
        <v>388.88826256609906</v>
      </c>
      <c r="AM234" s="68">
        <f t="shared" ref="AM234:AT234" si="387">((AM221+AM225)/(AM206-AM210*(1-$C$244)-AL210*(1-$C$245))*1000/12)</f>
        <v>405.16024219705884</v>
      </c>
      <c r="AN234" s="68">
        <f t="shared" si="387"/>
        <v>422.00304090326426</v>
      </c>
      <c r="AO234" s="68">
        <f t="shared" si="387"/>
        <v>439.45500397025484</v>
      </c>
      <c r="AP234" s="68">
        <f t="shared" si="387"/>
        <v>457.55219378529654</v>
      </c>
      <c r="AQ234" s="68">
        <f t="shared" si="387"/>
        <v>476.32941778735727</v>
      </c>
      <c r="AR234" s="68">
        <f t="shared" si="387"/>
        <v>495.82092350239509</v>
      </c>
      <c r="AS234" s="68">
        <f t="shared" si="387"/>
        <v>516.06088591055493</v>
      </c>
      <c r="AT234" s="68">
        <f t="shared" si="387"/>
        <v>537.0837615777649</v>
      </c>
      <c r="AU234" s="8" t="s">
        <v>29</v>
      </c>
    </row>
    <row r="235" spans="2:47" ht="16.2" customHeight="1" x14ac:dyDescent="0.3">
      <c r="B235" s="20" t="s">
        <v>35</v>
      </c>
      <c r="G235" s="7"/>
      <c r="H235" s="21"/>
      <c r="I235" s="21">
        <f t="shared" ref="H235:AK235" si="388">I234/D234-1</f>
        <v>5.4836413581212131</v>
      </c>
      <c r="J235" s="21">
        <f t="shared" si="388"/>
        <v>0.87720874874338861</v>
      </c>
      <c r="K235" s="21">
        <f t="shared" si="388"/>
        <v>0.22962415246018297</v>
      </c>
      <c r="L235" s="14">
        <f t="shared" si="388"/>
        <v>0.58850477864792916</v>
      </c>
      <c r="M235" s="21">
        <f t="shared" si="388"/>
        <v>0.60166125377995172</v>
      </c>
      <c r="N235" s="21">
        <f t="shared" si="388"/>
        <v>0.15917352073133162</v>
      </c>
      <c r="O235" s="21">
        <f t="shared" si="388"/>
        <v>2.1230545828316849E-3</v>
      </c>
      <c r="P235" s="21">
        <f t="shared" si="388"/>
        <v>4.4932969139432233E-2</v>
      </c>
      <c r="Q235" s="14">
        <f t="shared" si="388"/>
        <v>0.14373512382543563</v>
      </c>
      <c r="R235" s="21">
        <f t="shared" si="388"/>
        <v>7.0692077314238766E-2</v>
      </c>
      <c r="S235" s="21">
        <f t="shared" si="388"/>
        <v>6.716596820174181E-2</v>
      </c>
      <c r="T235" s="21">
        <f t="shared" si="388"/>
        <v>9.0638524549499833E-2</v>
      </c>
      <c r="U235" s="21">
        <f t="shared" si="388"/>
        <v>8.9776207950479137E-2</v>
      </c>
      <c r="V235" s="14">
        <f t="shared" si="388"/>
        <v>9.3353921296805753E-2</v>
      </c>
      <c r="W235" s="21">
        <f t="shared" si="388"/>
        <v>3.4374078103238226E-2</v>
      </c>
      <c r="X235" s="21">
        <f t="shared" si="388"/>
        <v>8.4774040137633788E-2</v>
      </c>
      <c r="Y235" s="21">
        <f t="shared" si="388"/>
        <v>4.0318425950069514E-2</v>
      </c>
      <c r="Z235" s="21">
        <f t="shared" si="388"/>
        <v>7.8041249501123344E-2</v>
      </c>
      <c r="AA235" s="14">
        <f t="shared" si="388"/>
        <v>6.3419650385111881E-2</v>
      </c>
      <c r="AB235" s="21">
        <f t="shared" si="388"/>
        <v>0.21063957704531999</v>
      </c>
      <c r="AC235" s="21">
        <f t="shared" si="388"/>
        <v>0.15900506481908061</v>
      </c>
      <c r="AD235" s="21">
        <f t="shared" si="388"/>
        <v>0.17116006269373374</v>
      </c>
      <c r="AE235" s="21">
        <f t="shared" si="388"/>
        <v>0.1488567217939738</v>
      </c>
      <c r="AF235" s="14">
        <f t="shared" si="388"/>
        <v>0.16956436481302584</v>
      </c>
      <c r="AG235" s="21">
        <f t="shared" si="388"/>
        <v>4.684611214970813E-2</v>
      </c>
      <c r="AH235" s="21">
        <f t="shared" si="388"/>
        <v>3.4855561914930222E-2</v>
      </c>
      <c r="AI235" s="21">
        <f t="shared" si="388"/>
        <v>3.5807357197423562E-2</v>
      </c>
      <c r="AJ235" s="21">
        <f t="shared" si="388"/>
        <v>3.9647597844432614E-2</v>
      </c>
      <c r="AK235" s="14">
        <f t="shared" si="388"/>
        <v>4.3736963929042361E-2</v>
      </c>
      <c r="AL235" s="14">
        <f>AL234/AK234-1</f>
        <v>4.0718022788841512E-2</v>
      </c>
      <c r="AM235" s="14">
        <f t="shared" ref="AM235:AT235" si="389">AM234/AL234-1</f>
        <v>4.1842300725633441E-2</v>
      </c>
      <c r="AN235" s="14">
        <f t="shared" si="389"/>
        <v>4.1570709442940723E-2</v>
      </c>
      <c r="AO235" s="14">
        <f t="shared" si="389"/>
        <v>4.1355064716206869E-2</v>
      </c>
      <c r="AP235" s="14">
        <f t="shared" si="389"/>
        <v>4.1180984745975646E-2</v>
      </c>
      <c r="AQ235" s="14">
        <f t="shared" si="389"/>
        <v>4.1038430712610374E-2</v>
      </c>
      <c r="AR235" s="14">
        <f t="shared" si="389"/>
        <v>4.09202224073828E-2</v>
      </c>
      <c r="AS235" s="14">
        <f t="shared" si="389"/>
        <v>4.0821113931998276E-2</v>
      </c>
      <c r="AT235" s="14">
        <f t="shared" si="389"/>
        <v>4.0737200282320307E-2</v>
      </c>
      <c r="AU235" s="8" t="s">
        <v>29</v>
      </c>
    </row>
    <row r="236" spans="2:47" ht="7.95" customHeight="1" x14ac:dyDescent="0.3">
      <c r="G236" s="7"/>
      <c r="L236" s="7"/>
      <c r="Q236" s="7"/>
      <c r="V236" s="7"/>
      <c r="AA236" s="7"/>
      <c r="AF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8" t="s">
        <v>29</v>
      </c>
    </row>
    <row r="237" spans="2:47" ht="16.2" customHeight="1" x14ac:dyDescent="0.3">
      <c r="B237" s="190" t="s">
        <v>317</v>
      </c>
      <c r="C237" s="69"/>
      <c r="D237" s="205">
        <f>D221/AVERAGE(C207:D207)*1000/3</f>
        <v>49.113689680365297</v>
      </c>
      <c r="E237" s="205">
        <f t="shared" ref="E237" si="390">E221/AVERAGE(D207:E207)*1000/3</f>
        <v>341.70776255707761</v>
      </c>
      <c r="F237" s="205">
        <f>F221/AVERAGE(E207:F207)*1000/3</f>
        <v>684.90666666666675</v>
      </c>
      <c r="G237" s="206">
        <f>(G221/(G207-G211*(1-$C$244))*1000/12)</f>
        <v>352.83783783783792</v>
      </c>
      <c r="H237" s="205">
        <f>((H221)/(H207-(H211+F211+E211+D211)*(1-$C$244)-(C211)*(1-$C$245))*1000/3)</f>
        <v>355.93931280678271</v>
      </c>
      <c r="I237" s="205">
        <f>((I221)/(I207-(I211+H211+F211+E211)*(1-$C$244)-(D211+C211)*(1-$C$245))*1000/3)</f>
        <v>501.59685863874341</v>
      </c>
      <c r="J237" s="205">
        <f>((J221)/(J207-(J211+I211+H211+F211)*(1-$C$244)-(E211+D211+C211)*(1-$C$245))*1000/3)</f>
        <v>656.27118644067798</v>
      </c>
      <c r="K237" s="205">
        <f>((K221)/(K207-(K211+J211+I211+H211)*(1-$C$244)-(F211+E211+D211+C211)*(1-$C$245))*1000/3)</f>
        <v>889.59390862944167</v>
      </c>
      <c r="L237" s="206">
        <f>((L221)/(L207-L211*(1-$C$244)-G211*(1-$C$245))*1000/12)</f>
        <v>588.02876480541454</v>
      </c>
      <c r="M237" s="205">
        <f>((M221)/(M207-(M211+K211+J211+I211)*(1-$C$244)-(H211+F211+E211+D211)*(1-$C$245))*1000/3)</f>
        <v>622.41887905604722</v>
      </c>
      <c r="N237" s="205">
        <f>((N221)/(N207-(N211+M211+K211+J211)*(1-$C$244)-(I211+H211+F211+E211)*(1-$C$245))*1000/3)</f>
        <v>627.24208795725451</v>
      </c>
      <c r="O237" s="205">
        <f>((O221)/(O207-(O211+N211+M211+K211)*(1-$C$244)-(J211+I211+H211+F211)*(1-$C$245))*1000/3)</f>
        <v>687.44376278118614</v>
      </c>
      <c r="P237" s="205">
        <f>((P221)/(P207-(P211+O211+N211+M211)*(1-$C$244)-(K211+J211+I211+H211)*(1-$C$245))*1000/3)</f>
        <v>1003.0252764612954</v>
      </c>
      <c r="Q237" s="206">
        <f>((Q221)/(Q207-Q211*(1-$C$244)-L211*(1-$C$245))*1000/12)</f>
        <v>713.22472353870444</v>
      </c>
      <c r="R237" s="205">
        <f>((R221)/(R207-(R211+P211+O211+N211)*(1-$C$244)-(M211+K211+J211+I211)*(1-$C$245))*1000/3)</f>
        <v>707.56714060031584</v>
      </c>
      <c r="S237" s="205">
        <f>((S221)/(S207-(S211+R211+P211+O211)*(1-$C$244)-(N211+M211+K211+J211)*(1-$C$245))*1000/3)</f>
        <v>710.99921935987504</v>
      </c>
      <c r="T237" s="205">
        <f>((T221)/(T207-(T211+S211+R211+P211)*(1-$C$244)-(O211+N211+M211+K211)*(1-$C$245))*1000/3)</f>
        <v>781.23798539023437</v>
      </c>
      <c r="U237" s="205">
        <f>((U221)/(U207-(U211+T211+S211+R211)*(1-$C$244)-(P211+O211+N211+M211)*(1-$C$245))*1000/3)</f>
        <v>1068.9263000374112</v>
      </c>
      <c r="V237" s="206">
        <f>((V221)/(V207-V211*(1-$C$244)-Q211*(1-$C$245))*1000/12)</f>
        <v>795.20950243172456</v>
      </c>
      <c r="W237" s="205">
        <f>((W221)/(W207-(W211+U211+T211+S211)*(1-$C$244)-(R211+P211+O211+N211)*(1-$C$245))*1000/3)</f>
        <v>723.62971094035856</v>
      </c>
      <c r="X237" s="205">
        <f>((X221)/(X207-(X211+W211+U211+T211)*(1-$C$244)-(S211+R211+P211+O211)*(1-$C$245))*1000/3)</f>
        <v>768.11440677966095</v>
      </c>
      <c r="Y237" s="205">
        <f>((Y221)/(Y207-(Y211+X211+W211+U211)*(1-$C$244)-(T211+S211+R211+P211)*(1-$C$245))*1000/3)</f>
        <v>791.65204765868873</v>
      </c>
      <c r="Z237" s="205">
        <f>((Z221)/(Z207-(Z211+Y211+X211+W211)*(1-$C$244)-(U211+T211+S211+R211)*(1-$C$245))*1000/3)</f>
        <v>1118.3401084010841</v>
      </c>
      <c r="AA237" s="206">
        <f>((AA221)/(AA207-AA211*(1-$C$244)-V211*(1-$C$245))*1000/12)</f>
        <v>824.58103433265569</v>
      </c>
      <c r="AB237" s="205">
        <f>((AB221)/(AB207-(AB211+Z211+Y211+X211)*(1-$C$244)-(W211+U211+T211+S211)*(1-$C$245))*1000/3)</f>
        <v>858.5370741482966</v>
      </c>
      <c r="AC237" s="205">
        <f>((AC221)/(AC207-(AC211+AB211+Z211+Y211)*(1-$C$244)-(X211+W211+U211+T211)*(1-$C$245))*1000/3)</f>
        <v>845.79362254616137</v>
      </c>
      <c r="AD237" s="205">
        <f>((AD221)/(AD207-(AD211+AC211+AB211+Z211)*(1-$C$244)-(Y211+X211+W211+U211)*(1-$C$245))*1000/3)</f>
        <v>893.11921258341272</v>
      </c>
      <c r="AE237" s="205">
        <f>((AE221)/(AE207-(AE211+AD211+AC211+AB211)*(1-$C$244)-(Z211+Y211+X211+W211)*(1-$C$245))*1000/3)</f>
        <v>1231.7430620517616</v>
      </c>
      <c r="AF237" s="206">
        <f>((AF221)/(AF207-AF211*(1-$C$244)-AA211*(1-$C$245))*1000/12)</f>
        <v>930.95346700966638</v>
      </c>
      <c r="AG237" s="205">
        <f>((AG221)/(AG207-(AG211+AE211+AD211+AC211)*(1-$C$244)-(AB211+Z211+Y211+X211)*(1-$C$245))*1000/3)</f>
        <v>891.88217054263578</v>
      </c>
      <c r="AH237" s="69">
        <f>AC237*(1+AH238)</f>
        <v>879.62536744800786</v>
      </c>
      <c r="AI237" s="69">
        <f>AD237*(1+AI238)</f>
        <v>928.8439810867493</v>
      </c>
      <c r="AJ237" s="69">
        <f>AE237*(1+AJ238)</f>
        <v>1281.0127845338322</v>
      </c>
      <c r="AK237" s="206">
        <f>((AK221)/(AK207-AK211*(1-$C$244)-AF211*(1-$C$245))*1000/12)</f>
        <v>959.84501914542443</v>
      </c>
      <c r="AL237" s="70">
        <f>AK237*(1+AL238)</f>
        <v>998.23881991124142</v>
      </c>
      <c r="AM237" s="70">
        <f>AL237*(1+AM238)</f>
        <v>1038.1683727076911</v>
      </c>
      <c r="AN237" s="70">
        <f t="shared" ref="AN237:AT237" si="391">AM237*(1+AN238)</f>
        <v>1079.6951076159987</v>
      </c>
      <c r="AO237" s="70">
        <f t="shared" si="391"/>
        <v>1122.8829119206387</v>
      </c>
      <c r="AP237" s="70">
        <f t="shared" si="391"/>
        <v>1167.7982283974643</v>
      </c>
      <c r="AQ237" s="70">
        <f t="shared" si="391"/>
        <v>1214.5101575333629</v>
      </c>
      <c r="AR237" s="70">
        <f t="shared" si="391"/>
        <v>1263.0905638346974</v>
      </c>
      <c r="AS237" s="70">
        <f t="shared" si="391"/>
        <v>1313.6141863880853</v>
      </c>
      <c r="AT237" s="70">
        <f t="shared" si="391"/>
        <v>1366.1587538436088</v>
      </c>
      <c r="AU237" s="8" t="s">
        <v>29</v>
      </c>
    </row>
    <row r="238" spans="2:47" ht="16.2" customHeight="1" x14ac:dyDescent="0.3">
      <c r="B238" s="24" t="s">
        <v>35</v>
      </c>
      <c r="G238" s="7"/>
      <c r="H238" s="21"/>
      <c r="I238" s="21">
        <f t="shared" ref="H238:AG238" si="392">I237/D237-1</f>
        <v>9.2129744660432653</v>
      </c>
      <c r="J238" s="21">
        <f t="shared" si="392"/>
        <v>0.92056270987129496</v>
      </c>
      <c r="K238" s="21">
        <f t="shared" si="392"/>
        <v>0.29885421171172943</v>
      </c>
      <c r="L238" s="14">
        <f t="shared" si="392"/>
        <v>0.66656945980852789</v>
      </c>
      <c r="M238" s="21">
        <f t="shared" si="392"/>
        <v>0.74866573222250299</v>
      </c>
      <c r="N238" s="21">
        <f t="shared" si="392"/>
        <v>0.25049046291775601</v>
      </c>
      <c r="O238" s="21">
        <f t="shared" si="392"/>
        <v>4.7499535229596601E-2</v>
      </c>
      <c r="P238" s="21">
        <f t="shared" si="392"/>
        <v>0.12750915528031492</v>
      </c>
      <c r="Q238" s="14">
        <f t="shared" si="392"/>
        <v>0.21290788176785647</v>
      </c>
      <c r="R238" s="21">
        <f t="shared" si="392"/>
        <v>0.13680218323936999</v>
      </c>
      <c r="S238" s="21">
        <f t="shared" si="392"/>
        <v>0.13353238408378054</v>
      </c>
      <c r="T238" s="21">
        <f t="shared" si="392"/>
        <v>0.13643912082289567</v>
      </c>
      <c r="U238" s="21">
        <f t="shared" si="392"/>
        <v>6.5702256087320832E-2</v>
      </c>
      <c r="V238" s="14">
        <f t="shared" si="392"/>
        <v>0.11494943485168041</v>
      </c>
      <c r="W238" s="21">
        <f t="shared" si="392"/>
        <v>2.2701125332664329E-2</v>
      </c>
      <c r="X238" s="21">
        <f t="shared" si="392"/>
        <v>8.033087219309154E-2</v>
      </c>
      <c r="Y238" s="21">
        <f t="shared" si="392"/>
        <v>1.3330204704847359E-2</v>
      </c>
      <c r="Z238" s="21">
        <f t="shared" si="392"/>
        <v>4.6227516679067104E-2</v>
      </c>
      <c r="AA238" s="14">
        <f t="shared" si="392"/>
        <v>3.6935589691916348E-2</v>
      </c>
      <c r="AB238" s="21">
        <f t="shared" si="392"/>
        <v>0.18643148722103398</v>
      </c>
      <c r="AC238" s="21">
        <f t="shared" si="392"/>
        <v>0.10112974718463175</v>
      </c>
      <c r="AD238" s="21">
        <f t="shared" si="392"/>
        <v>0.12817141725940484</v>
      </c>
      <c r="AE238" s="21">
        <f t="shared" si="392"/>
        <v>0.10140292098868953</v>
      </c>
      <c r="AF238" s="14">
        <f t="shared" si="392"/>
        <v>0.12900179393902667</v>
      </c>
      <c r="AG238" s="21">
        <f t="shared" si="392"/>
        <v>3.8839436756320511E-2</v>
      </c>
      <c r="AH238" s="26">
        <v>0.04</v>
      </c>
      <c r="AI238" s="26">
        <v>0.04</v>
      </c>
      <c r="AJ238" s="26">
        <v>0.04</v>
      </c>
      <c r="AK238" s="14">
        <f t="shared" ref="AK238" si="393">AK237/AF237-1</f>
        <v>3.1034367623723691E-2</v>
      </c>
      <c r="AL238" s="27">
        <v>0.04</v>
      </c>
      <c r="AM238" s="27">
        <v>0.04</v>
      </c>
      <c r="AN238" s="27">
        <v>0.04</v>
      </c>
      <c r="AO238" s="27">
        <v>0.04</v>
      </c>
      <c r="AP238" s="27">
        <v>0.04</v>
      </c>
      <c r="AQ238" s="27">
        <v>0.04</v>
      </c>
      <c r="AR238" s="27">
        <v>0.04</v>
      </c>
      <c r="AS238" s="27">
        <v>0.04</v>
      </c>
      <c r="AT238" s="27">
        <v>0.04</v>
      </c>
      <c r="AU238" s="8" t="s">
        <v>29</v>
      </c>
    </row>
    <row r="239" spans="2:47" ht="7.95" customHeight="1" x14ac:dyDescent="0.3">
      <c r="G239" s="7"/>
      <c r="L239" s="7"/>
      <c r="Q239" s="7"/>
      <c r="V239" s="7"/>
      <c r="AA239" s="7"/>
      <c r="AF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8" t="s">
        <v>29</v>
      </c>
    </row>
    <row r="240" spans="2:47" ht="16.2" customHeight="1" x14ac:dyDescent="0.3">
      <c r="B240" s="190" t="s">
        <v>318</v>
      </c>
      <c r="C240" s="69"/>
      <c r="D240" s="69">
        <f>D225/AVERAGE(C208:D208)*1000/3</f>
        <v>31.238818565400845</v>
      </c>
      <c r="E240" s="69">
        <f t="shared" ref="E240" si="394">E225/AVERAGE(D208:E208)*1000/3</f>
        <v>109.16290726817043</v>
      </c>
      <c r="F240" s="69">
        <f>F225/AVERAGE(E208:F208)*1000/3</f>
        <v>193.99842767295596</v>
      </c>
      <c r="G240" s="70">
        <f>(G225/(G208-G212*(1-$C$244))*1000/12)</f>
        <v>107.28932355338225</v>
      </c>
      <c r="H240" s="69">
        <f>((H225)/(H208-(H212+F212+E212+D212)*(1-$C$244)-(C212)*(1-$C$245))*1000/3)</f>
        <v>114.66762658987282</v>
      </c>
      <c r="I240" s="69">
        <f>((I225)/(I208-(I212+H212+F212+E212)*(1-$C$244)-(D212+C212)*(1-$C$245))*1000/3)</f>
        <v>169.79797979797979</v>
      </c>
      <c r="J240" s="69">
        <f>((J225)/(J208-(J212+I212+H212+F212)*(1-$C$244)-(E212+D212+C212)*(1-$C$245))*1000/3)</f>
        <v>204.8358208955224</v>
      </c>
      <c r="K240" s="69">
        <f>((K225)/(K208-(K212+J212+I212+H212)*(1-$C$244)-(F212+E212+D212+C212)*(1-$C$245))*1000/3)</f>
        <v>235.10769886969501</v>
      </c>
      <c r="L240" s="70">
        <f>((L225)/(L208-L212*(1-$C$244)-G212*(1-$C$245))*1000/12)</f>
        <v>170.05367171394045</v>
      </c>
      <c r="M240" s="69">
        <f>((M225)/(M208-(M212+K212+J212+I212)*(1-$C$244)-(H212+F212+E212+D212)*(1-$C$245))*1000/3)</f>
        <v>179.01307465204556</v>
      </c>
      <c r="N240" s="69">
        <f>((N225)/(N208-(N212+M212+K212+J212)*(1-$C$244)-(I212+H212+F212+E212)*(1-$C$245))*1000/3)</f>
        <v>193.86858316221767</v>
      </c>
      <c r="O240" s="69">
        <f>((O225)/(O208-(O212+N212+M212+K212)*(1-$C$244)-(J212+I212+H212+F212)*(1-$C$245))*1000/3)</f>
        <v>205.54401385004658</v>
      </c>
      <c r="P240" s="69">
        <f>((P225)/(P208-(P212+O212+N212+M212)*(1-$C$244)-(K212+J212+I212+H212)*(1-$C$245))*1000/3)</f>
        <v>239.87760709379293</v>
      </c>
      <c r="Q240" s="70">
        <f>((Q225)/(Q208-Q212*(1-$C$244)-L212*(1-$C$245))*1000/12)</f>
        <v>192.13375796178343</v>
      </c>
      <c r="R240" s="69">
        <f>((R225)/(R208-(R212+P212+O212+N212)*(1-$C$244)-(M212+K212+J212+I212)*(1-$C$245))*1000/3)</f>
        <v>189.2790784095132</v>
      </c>
      <c r="S240" s="69">
        <f>((S225)/(S208-(S212+R212+P212+O212)*(1-$C$244)-(N212+M212+K212+J212)*(1-$C$245))*1000/3)</f>
        <v>205.01270417422867</v>
      </c>
      <c r="T240" s="69">
        <f>((T225)/(T208-(T212+S212+R212+P212)*(1-$C$244)-(O212+N212+M212+K212)*(1-$C$245))*1000/3)</f>
        <v>223.01474084640992</v>
      </c>
      <c r="U240" s="69">
        <f>((U225)/(U208-(U212+T212+S212+R212)*(1-$C$244)-(P212+O212+N212+M212)*(1-$C$245))*1000/3)</f>
        <v>270.33164128595598</v>
      </c>
      <c r="V240" s="70">
        <f>((V225)/(V208-V212*(1-$C$244)-Q212*(1-$C$245))*1000/12)</f>
        <v>211.36407219402145</v>
      </c>
      <c r="W240" s="69">
        <f>((W225)/(W208-(W212+U212+T212+S212)*(1-$C$244)-(R212+P212+O212+N212)*(1-$C$245))*1000/3)</f>
        <v>198.61658525630227</v>
      </c>
      <c r="X240" s="69">
        <f>((X225)/(X208-(X212+W212+U212+T212)*(1-$C$244)-(S212+R212+P212+O212)*(1-$C$245))*1000/3)</f>
        <v>222.98190960266712</v>
      </c>
      <c r="Y240" s="69">
        <f>((Y225)/(Y208-(Y212+X212+W212+U212)*(1-$C$244)-(T212+S212+R212+P212)*(1-$C$245))*1000/3)</f>
        <v>235.0132132639859</v>
      </c>
      <c r="Z240" s="69">
        <f>((Z225)/(Z208-(Z212+Y212+X212+W212)*(1-$C$244)-(U212+T212+S212+R212)*(1-$C$245))*1000/3)</f>
        <v>296.1437506408285</v>
      </c>
      <c r="AA240" s="70">
        <f>((AA225)/(AA208-AA212*(1-$C$244)-V212*(1-$C$245))*1000/12)</f>
        <v>227.64483451900924</v>
      </c>
      <c r="AB240" s="69">
        <f>((AB225)/(AB208-(AB212+Z212+Y212+X212)*(1-$C$244)-(W212+U212+T212+S212)*(1-$C$245))*1000/3)</f>
        <v>243.72869282043453</v>
      </c>
      <c r="AC240" s="69">
        <f>((AC225)/(AC208-(AC212+AB212+Z212+Y212)*(1-$C$244)-(X212+W212+U212+T212)*(1-$C$245))*1000/3)</f>
        <v>265.52598738473824</v>
      </c>
      <c r="AD240" s="69">
        <f>((AD225)/(AD208-(AD212+AC212+AB212+Z212)*(1-$C$244)-(Y212+X212+W212+U212)*(1-$C$245))*1000/3)</f>
        <v>281.17763063138216</v>
      </c>
      <c r="AE240" s="69">
        <f>((AE225)/(AE208-(AE212+AD212+AC212+AB212)*(1-$C$244)-(Z212+Y212+X212+W212)*(1-$C$245))*1000/3)</f>
        <v>349.56420306084357</v>
      </c>
      <c r="AF240" s="70">
        <f>((AF225)/(AF208-AF212*(1-$C$244)-AA212*(1-$C$245))*1000/12)</f>
        <v>272.2822464044699</v>
      </c>
      <c r="AG240" s="69">
        <f>((AG225)/(AG208-(AG212+AE212+AD212+AC212)*(1-$C$244)-(AB212+Z212+Y212+X212)*(1-$C$245))*1000/3)</f>
        <v>258.23377581120945</v>
      </c>
      <c r="AH240" s="69">
        <f>AC240*(1+AH241)</f>
        <v>276.14702688012778</v>
      </c>
      <c r="AI240" s="69">
        <f t="shared" ref="AI240:AJ240" si="395">AD240*(1+AI241)</f>
        <v>292.42473585663743</v>
      </c>
      <c r="AJ240" s="69">
        <f t="shared" si="395"/>
        <v>363.54677118327731</v>
      </c>
      <c r="AK240" s="70">
        <f>((AK225)/(AK208-AK212*(1-$C$244)-AF212*(1-$C$245))*1000/12)</f>
        <v>286.09873162247322</v>
      </c>
      <c r="AL240" s="70">
        <f>AK240*(1+AL241)</f>
        <v>297.54268088737217</v>
      </c>
      <c r="AM240" s="70">
        <f>AL240*(1+AM241)</f>
        <v>309.44438812286705</v>
      </c>
      <c r="AN240" s="70">
        <f t="shared" ref="AN240:AT240" si="396">AM240*(1+AN241)</f>
        <v>321.82216364778174</v>
      </c>
      <c r="AO240" s="70">
        <f t="shared" si="396"/>
        <v>334.69505019369302</v>
      </c>
      <c r="AP240" s="70">
        <f t="shared" si="396"/>
        <v>348.08285220144074</v>
      </c>
      <c r="AQ240" s="70">
        <f t="shared" si="396"/>
        <v>362.00616628949837</v>
      </c>
      <c r="AR240" s="70">
        <f t="shared" si="396"/>
        <v>376.4864129410783</v>
      </c>
      <c r="AS240" s="70">
        <f t="shared" si="396"/>
        <v>391.54586945872143</v>
      </c>
      <c r="AT240" s="70">
        <f t="shared" si="396"/>
        <v>407.20770423707029</v>
      </c>
      <c r="AU240" s="8" t="s">
        <v>29</v>
      </c>
    </row>
    <row r="241" spans="1:47" ht="16.2" customHeight="1" x14ac:dyDescent="0.3">
      <c r="B241" s="24" t="s">
        <v>35</v>
      </c>
      <c r="G241" s="7"/>
      <c r="H241" s="21"/>
      <c r="I241" s="21">
        <f t="shared" ref="H241:AG241" si="397">I240/D240-1</f>
        <v>4.4354802004593994</v>
      </c>
      <c r="J241" s="21">
        <f t="shared" si="397"/>
        <v>0.87642328352726229</v>
      </c>
      <c r="K241" s="21">
        <f t="shared" si="397"/>
        <v>0.21190517722154634</v>
      </c>
      <c r="L241" s="14">
        <f t="shared" si="397"/>
        <v>0.58500087503422038</v>
      </c>
      <c r="M241" s="21">
        <f t="shared" si="397"/>
        <v>0.56114746572992713</v>
      </c>
      <c r="N241" s="21">
        <f t="shared" si="397"/>
        <v>0.14176024586909874</v>
      </c>
      <c r="O241" s="21">
        <f t="shared" si="397"/>
        <v>3.4573686937569015E-3</v>
      </c>
      <c r="P241" s="21">
        <f t="shared" si="397"/>
        <v>2.0288183870752707E-2</v>
      </c>
      <c r="Q241" s="14">
        <f t="shared" si="397"/>
        <v>0.12984186713113433</v>
      </c>
      <c r="R241" s="21">
        <f t="shared" si="397"/>
        <v>5.7347787458664978E-2</v>
      </c>
      <c r="S241" s="21">
        <f t="shared" si="397"/>
        <v>5.7482861999802459E-2</v>
      </c>
      <c r="T241" s="21">
        <f t="shared" si="397"/>
        <v>8.4997498438991403E-2</v>
      </c>
      <c r="U241" s="21">
        <f t="shared" si="397"/>
        <v>0.12695655322364208</v>
      </c>
      <c r="V241" s="14">
        <f t="shared" si="397"/>
        <v>0.10008815960422246</v>
      </c>
      <c r="W241" s="21">
        <f t="shared" si="397"/>
        <v>4.9331954303935222E-2</v>
      </c>
      <c r="X241" s="21">
        <f t="shared" si="397"/>
        <v>8.7649228865189999E-2</v>
      </c>
      <c r="Y241" s="21">
        <f t="shared" si="397"/>
        <v>5.3801252652798004E-2</v>
      </c>
      <c r="Z241" s="21">
        <f t="shared" si="397"/>
        <v>9.5483122996943504E-2</v>
      </c>
      <c r="AA241" s="14">
        <f t="shared" si="397"/>
        <v>7.7027103783479767E-2</v>
      </c>
      <c r="AB241" s="21">
        <f t="shared" si="397"/>
        <v>0.2271316240077228</v>
      </c>
      <c r="AC241" s="21">
        <f t="shared" si="397"/>
        <v>0.19079609578140522</v>
      </c>
      <c r="AD241" s="21">
        <f t="shared" si="397"/>
        <v>0.1964332844363974</v>
      </c>
      <c r="AE241" s="21">
        <f t="shared" si="397"/>
        <v>0.18038689759421911</v>
      </c>
      <c r="AF241" s="14">
        <f t="shared" si="397"/>
        <v>0.19608357017972788</v>
      </c>
      <c r="AG241" s="21">
        <f t="shared" si="397"/>
        <v>5.9513235076763982E-2</v>
      </c>
      <c r="AH241" s="26">
        <v>0.04</v>
      </c>
      <c r="AI241" s="26">
        <v>0.04</v>
      </c>
      <c r="AJ241" s="26">
        <v>0.04</v>
      </c>
      <c r="AK241" s="14">
        <f t="shared" ref="AK241" si="398">AK240/AF240-1</f>
        <v>5.0743246761227434E-2</v>
      </c>
      <c r="AL241" s="27">
        <v>0.04</v>
      </c>
      <c r="AM241" s="27">
        <v>0.04</v>
      </c>
      <c r="AN241" s="27">
        <v>0.04</v>
      </c>
      <c r="AO241" s="27">
        <v>0.04</v>
      </c>
      <c r="AP241" s="27">
        <v>0.04</v>
      </c>
      <c r="AQ241" s="27">
        <v>0.04</v>
      </c>
      <c r="AR241" s="27">
        <v>0.04</v>
      </c>
      <c r="AS241" s="27">
        <v>0.04</v>
      </c>
      <c r="AT241" s="27">
        <v>0.04</v>
      </c>
      <c r="AU241" s="8" t="s">
        <v>29</v>
      </c>
    </row>
    <row r="242" spans="1:47" ht="16.2" customHeight="1" thickBot="1" x14ac:dyDescent="0.35">
      <c r="G242" s="7"/>
      <c r="L242" s="7"/>
      <c r="Q242" s="7"/>
      <c r="V242" s="7"/>
      <c r="AA242" s="7"/>
      <c r="AF242" s="7"/>
      <c r="AK242" s="103"/>
      <c r="AL242" s="7"/>
      <c r="AM242" s="7"/>
      <c r="AN242" s="7"/>
      <c r="AO242" s="7"/>
      <c r="AP242" s="7"/>
      <c r="AQ242" s="7"/>
      <c r="AR242" s="7"/>
      <c r="AS242" s="7"/>
      <c r="AT242" s="7"/>
      <c r="AU242" s="8" t="s">
        <v>29</v>
      </c>
    </row>
    <row r="243" spans="1:47" ht="16.2" customHeight="1" x14ac:dyDescent="0.3">
      <c r="B243" s="195" t="s">
        <v>319</v>
      </c>
      <c r="C243" s="196" t="s">
        <v>320</v>
      </c>
      <c r="G243" s="7"/>
      <c r="L243" s="7"/>
      <c r="Q243" s="7"/>
      <c r="V243" s="7"/>
      <c r="AA243" s="7"/>
      <c r="AF243" s="7"/>
      <c r="AK243" s="103"/>
      <c r="AL243" s="7"/>
      <c r="AM243" s="7"/>
      <c r="AN243" s="7"/>
      <c r="AO243" s="7"/>
      <c r="AP243" s="7"/>
      <c r="AQ243" s="7"/>
      <c r="AR243" s="7"/>
      <c r="AS243" s="7"/>
      <c r="AT243" s="7"/>
      <c r="AU243" s="8"/>
    </row>
    <row r="244" spans="1:47" ht="16.2" customHeight="1" x14ac:dyDescent="0.3">
      <c r="B244" s="191" t="s">
        <v>321</v>
      </c>
      <c r="C244" s="192">
        <v>0.5</v>
      </c>
      <c r="G244" s="7"/>
      <c r="L244" s="7"/>
      <c r="Q244" s="7"/>
      <c r="V244" s="7"/>
      <c r="AA244" s="7"/>
      <c r="AF244" s="7"/>
      <c r="AK244" s="103"/>
      <c r="AL244" s="7"/>
      <c r="AM244" s="7"/>
      <c r="AN244" s="7"/>
      <c r="AO244" s="7"/>
      <c r="AP244" s="7"/>
      <c r="AQ244" s="7"/>
      <c r="AR244" s="7"/>
      <c r="AS244" s="7"/>
      <c r="AT244" s="7"/>
      <c r="AU244" s="8"/>
    </row>
    <row r="245" spans="1:47" ht="16.2" customHeight="1" x14ac:dyDescent="0.3">
      <c r="B245" s="191" t="s">
        <v>322</v>
      </c>
      <c r="C245" s="192">
        <v>0.85</v>
      </c>
      <c r="G245" s="7"/>
      <c r="L245" s="7"/>
      <c r="Q245" s="7"/>
      <c r="V245" s="7"/>
      <c r="AA245" s="7"/>
      <c r="AF245" s="7"/>
      <c r="AK245" s="103"/>
      <c r="AL245" s="7"/>
      <c r="AM245" s="7"/>
      <c r="AN245" s="7"/>
      <c r="AO245" s="7"/>
      <c r="AP245" s="7"/>
      <c r="AQ245" s="7"/>
      <c r="AR245" s="7"/>
      <c r="AS245" s="7"/>
      <c r="AT245" s="7"/>
      <c r="AU245" s="8"/>
    </row>
    <row r="246" spans="1:47" ht="16.2" customHeight="1" thickBot="1" x14ac:dyDescent="0.35">
      <c r="B246" s="193" t="s">
        <v>323</v>
      </c>
      <c r="C246" s="194">
        <v>1</v>
      </c>
      <c r="G246" s="7"/>
      <c r="L246" s="7"/>
      <c r="Q246" s="7"/>
      <c r="V246" s="7"/>
      <c r="AA246" s="7"/>
      <c r="AF246" s="7"/>
      <c r="AK246" s="103"/>
      <c r="AL246" s="7"/>
      <c r="AM246" s="7"/>
      <c r="AN246" s="7"/>
      <c r="AO246" s="7"/>
      <c r="AP246" s="7"/>
      <c r="AQ246" s="7"/>
      <c r="AR246" s="7"/>
      <c r="AS246" s="7"/>
      <c r="AT246" s="7"/>
      <c r="AU246" s="8"/>
    </row>
    <row r="247" spans="1:47" ht="7.95" customHeight="1" x14ac:dyDescent="0.3">
      <c r="G247" s="7"/>
      <c r="L247" s="7"/>
      <c r="Q247" s="7"/>
      <c r="V247" s="7"/>
      <c r="AA247" s="7"/>
      <c r="AF247" s="7"/>
      <c r="AK247" s="103"/>
      <c r="AL247" s="7"/>
      <c r="AM247" s="7"/>
      <c r="AN247" s="7"/>
      <c r="AO247" s="7"/>
      <c r="AP247" s="7"/>
      <c r="AQ247" s="7"/>
      <c r="AR247" s="7"/>
      <c r="AS247" s="7"/>
      <c r="AT247" s="7"/>
      <c r="AU247" s="8"/>
    </row>
    <row r="248" spans="1:47" ht="16.2" customHeight="1" x14ac:dyDescent="0.3">
      <c r="A248" s="2" t="s">
        <v>30</v>
      </c>
      <c r="B248" s="58" t="s">
        <v>157</v>
      </c>
      <c r="C248" s="59"/>
      <c r="D248" s="59"/>
      <c r="E248" s="59"/>
      <c r="F248" s="59"/>
      <c r="G248" s="60"/>
      <c r="H248" s="59"/>
      <c r="I248" s="59"/>
      <c r="J248" s="59"/>
      <c r="K248" s="59"/>
      <c r="L248" s="60"/>
      <c r="M248" s="59"/>
      <c r="N248" s="59"/>
      <c r="O248" s="59"/>
      <c r="P248" s="59"/>
      <c r="Q248" s="60"/>
      <c r="R248" s="59"/>
      <c r="S248" s="59"/>
      <c r="T248" s="59"/>
      <c r="U248" s="59"/>
      <c r="V248" s="60"/>
      <c r="W248" s="59"/>
      <c r="X248" s="59"/>
      <c r="Y248" s="59"/>
      <c r="Z248" s="59"/>
      <c r="AA248" s="60"/>
      <c r="AB248" s="59"/>
      <c r="AC248" s="59"/>
      <c r="AD248" s="59"/>
      <c r="AE248" s="59"/>
      <c r="AF248" s="60"/>
      <c r="AG248" s="59"/>
      <c r="AH248" s="59"/>
      <c r="AI248" s="59"/>
      <c r="AJ248" s="59"/>
      <c r="AK248" s="60"/>
      <c r="AL248" s="60"/>
      <c r="AM248" s="60"/>
      <c r="AN248" s="60"/>
      <c r="AO248" s="60"/>
      <c r="AP248" s="60"/>
      <c r="AQ248" s="60"/>
      <c r="AR248" s="60"/>
      <c r="AS248" s="60"/>
      <c r="AT248" s="60"/>
      <c r="AU248" s="8" t="s">
        <v>29</v>
      </c>
    </row>
    <row r="249" spans="1:47" s="75" customFormat="1" ht="7.95" customHeight="1" x14ac:dyDescent="0.3">
      <c r="G249" s="76"/>
      <c r="L249" s="76"/>
      <c r="Q249" s="76"/>
      <c r="V249" s="76"/>
      <c r="AA249" s="76"/>
      <c r="AF249" s="76"/>
      <c r="AK249" s="76"/>
      <c r="AL249" s="76"/>
      <c r="AM249" s="76"/>
      <c r="AN249" s="76"/>
      <c r="AO249" s="76"/>
      <c r="AP249" s="76"/>
      <c r="AQ249" s="76"/>
      <c r="AR249" s="76"/>
      <c r="AS249" s="76"/>
      <c r="AT249" s="76"/>
      <c r="AU249" s="77" t="s">
        <v>29</v>
      </c>
    </row>
    <row r="250" spans="1:47" ht="16.2" customHeight="1" x14ac:dyDescent="0.3">
      <c r="B250" s="25" t="s">
        <v>158</v>
      </c>
      <c r="C250" s="28">
        <f>C170</f>
        <v>49.36</v>
      </c>
      <c r="D250" s="28">
        <f>D170</f>
        <v>23.274999999999999</v>
      </c>
      <c r="E250" s="28">
        <f>E170</f>
        <v>59.44</v>
      </c>
      <c r="F250" s="28">
        <f>F170</f>
        <v>100.441</v>
      </c>
      <c r="G250" s="29">
        <f>SUM(C250:F250)</f>
        <v>232.51599999999999</v>
      </c>
      <c r="H250" s="28">
        <f>H170</f>
        <v>60.286999999999999</v>
      </c>
      <c r="I250" s="28">
        <f>I170</f>
        <v>77.209000000000003</v>
      </c>
      <c r="J250" s="28">
        <f>J170</f>
        <v>93.602999999999994</v>
      </c>
      <c r="K250" s="28">
        <f>K170</f>
        <v>125.577</v>
      </c>
      <c r="L250" s="29">
        <f>SUM(H250:K250)</f>
        <v>356.67599999999999</v>
      </c>
      <c r="M250" s="28">
        <f>M170</f>
        <v>94.265000000000001</v>
      </c>
      <c r="N250" s="28">
        <f>N170</f>
        <v>91.81</v>
      </c>
      <c r="O250" s="28">
        <f>O170</f>
        <v>102.294</v>
      </c>
      <c r="P250" s="28">
        <f>P170</f>
        <v>153.16800000000001</v>
      </c>
      <c r="Q250" s="29">
        <f>SUM(M250:P250)</f>
        <v>441.53699999999998</v>
      </c>
      <c r="R250" s="28">
        <f>R170</f>
        <v>111.026</v>
      </c>
      <c r="S250" s="28">
        <f>S170</f>
        <v>110.886</v>
      </c>
      <c r="T250" s="28">
        <f>T170</f>
        <v>123.13500000000001</v>
      </c>
      <c r="U250" s="28">
        <f>U170</f>
        <v>175.22200000000001</v>
      </c>
      <c r="V250" s="29">
        <f>SUM(R250:U250)</f>
        <v>520.26900000000001</v>
      </c>
      <c r="W250" s="28">
        <f>W170</f>
        <v>128.255</v>
      </c>
      <c r="X250" s="28">
        <f>X170</f>
        <v>137.846</v>
      </c>
      <c r="Y250" s="28">
        <f>Y170</f>
        <v>145.84800000000001</v>
      </c>
      <c r="Z250" s="28">
        <f>Z170</f>
        <v>205.881</v>
      </c>
      <c r="AA250" s="29">
        <f>SUM(W250:Z250)</f>
        <v>617.83000000000004</v>
      </c>
      <c r="AB250" s="28">
        <f>AB170</f>
        <v>168.70500000000001</v>
      </c>
      <c r="AC250" s="28">
        <f>AC170</f>
        <v>171.36199999999999</v>
      </c>
      <c r="AD250" s="28">
        <f>AD170</f>
        <v>180.26599999999999</v>
      </c>
      <c r="AE250" s="28">
        <f>AE170</f>
        <v>248.38800000000001</v>
      </c>
      <c r="AF250" s="29">
        <f>SUM(AB250:AE250)</f>
        <v>768.721</v>
      </c>
      <c r="AG250" s="28">
        <f>AG170</f>
        <v>198.26400000000001</v>
      </c>
      <c r="AH250" s="28">
        <f>AH253*AH256</f>
        <v>191.32452484522295</v>
      </c>
      <c r="AI250" s="28">
        <f t="shared" ref="AI250:AJ250" si="399">AI253*AI256</f>
        <v>203.66550819985943</v>
      </c>
      <c r="AJ250" s="28">
        <f t="shared" si="399"/>
        <v>286.11777020489563</v>
      </c>
      <c r="AK250" s="29">
        <f>SUM(AG250:AJ250)</f>
        <v>879.37180324997803</v>
      </c>
      <c r="AL250" s="29">
        <f>AL253*AL256</f>
        <v>1011.8921281240447</v>
      </c>
      <c r="AM250" s="29">
        <f>AM253*AM256</f>
        <v>1162.4856961869937</v>
      </c>
      <c r="AN250" s="29">
        <f t="shared" ref="AN250:AT250" si="400">AN253*AN256</f>
        <v>1325.5600948739307</v>
      </c>
      <c r="AO250" s="29">
        <f t="shared" si="400"/>
        <v>1501.9549358292315</v>
      </c>
      <c r="AP250" s="29">
        <f t="shared" si="400"/>
        <v>1692.5603140959593</v>
      </c>
      <c r="AQ250" s="29">
        <f t="shared" si="400"/>
        <v>1898.3196347609712</v>
      </c>
      <c r="AR250" s="29">
        <f t="shared" si="400"/>
        <v>2120.2325902122743</v>
      </c>
      <c r="AS250" s="29">
        <f t="shared" si="400"/>
        <v>2359.3582957451335</v>
      </c>
      <c r="AT250" s="29">
        <f t="shared" si="400"/>
        <v>2616.8185916397947</v>
      </c>
      <c r="AU250" s="8" t="s">
        <v>29</v>
      </c>
    </row>
    <row r="251" spans="1:47" ht="16.2" customHeight="1" x14ac:dyDescent="0.3">
      <c r="B251" s="20" t="s">
        <v>35</v>
      </c>
      <c r="G251" s="7"/>
      <c r="H251" s="21">
        <f t="shared" ref="H251:K251" si="401">H250/C250-1</f>
        <v>0.22137358184764988</v>
      </c>
      <c r="I251" s="21">
        <f t="shared" si="401"/>
        <v>2.3172502685284644</v>
      </c>
      <c r="J251" s="21">
        <f t="shared" si="401"/>
        <v>0.57474764468371453</v>
      </c>
      <c r="K251" s="21">
        <f t="shared" si="401"/>
        <v>0.25025636941089791</v>
      </c>
      <c r="L251" s="14">
        <f>L250/SUM(C250:F250)-1</f>
        <v>0.53398475803815648</v>
      </c>
      <c r="M251" s="21">
        <f t="shared" ref="M251:P251" si="402">M250/H250-1</f>
        <v>0.56360409375155518</v>
      </c>
      <c r="N251" s="21">
        <f t="shared" si="402"/>
        <v>0.18911007784066625</v>
      </c>
      <c r="O251" s="21">
        <f t="shared" si="402"/>
        <v>9.2849588154225948E-2</v>
      </c>
      <c r="P251" s="21">
        <f t="shared" si="402"/>
        <v>0.21971380109414951</v>
      </c>
      <c r="Q251" s="14">
        <f>Q250/SUM(H250:K250)-1</f>
        <v>0.23792181139185131</v>
      </c>
      <c r="R251" s="21">
        <f t="shared" ref="R251:U251" si="403">R250/M250-1</f>
        <v>0.17780724553121519</v>
      </c>
      <c r="S251" s="21">
        <f t="shared" si="403"/>
        <v>0.20777693061757962</v>
      </c>
      <c r="T251" s="21">
        <f t="shared" si="403"/>
        <v>0.20373628951844691</v>
      </c>
      <c r="U251" s="21">
        <f t="shared" si="403"/>
        <v>0.14398568891674501</v>
      </c>
      <c r="V251" s="14">
        <f>V250/SUM(M250:P250)-1</f>
        <v>0.17831348222232801</v>
      </c>
      <c r="W251" s="21">
        <f t="shared" ref="W251:Z251" si="404">W250/R250-1</f>
        <v>0.15517986777871839</v>
      </c>
      <c r="X251" s="21">
        <f t="shared" si="404"/>
        <v>0.2431325866204932</v>
      </c>
      <c r="Y251" s="21">
        <f t="shared" si="404"/>
        <v>0.18445608478499209</v>
      </c>
      <c r="Z251" s="21">
        <f t="shared" si="404"/>
        <v>0.1749723208272933</v>
      </c>
      <c r="AA251" s="14">
        <f>AA250/SUM(R250:U250)-1</f>
        <v>0.1875203019976206</v>
      </c>
      <c r="AB251" s="21">
        <f t="shared" ref="AB251:AE251" si="405">AB250/W250-1</f>
        <v>0.31538731433472389</v>
      </c>
      <c r="AC251" s="21">
        <f t="shared" si="405"/>
        <v>0.24314089636260738</v>
      </c>
      <c r="AD251" s="21">
        <f t="shared" si="405"/>
        <v>0.23598540946739055</v>
      </c>
      <c r="AE251" s="21">
        <f t="shared" si="405"/>
        <v>0.20646392819152815</v>
      </c>
      <c r="AF251" s="14">
        <f>AF250/SUM(W250:Z250)-1</f>
        <v>0.24422737646278092</v>
      </c>
      <c r="AG251" s="21">
        <f t="shared" ref="AG251:AJ251" si="406">AG250/AB250-1</f>
        <v>0.17521116742242371</v>
      </c>
      <c r="AH251" s="21">
        <f t="shared" si="406"/>
        <v>0.11649329982856726</v>
      </c>
      <c r="AI251" s="21">
        <f t="shared" si="406"/>
        <v>0.12980544417615869</v>
      </c>
      <c r="AJ251" s="21">
        <f t="shared" si="406"/>
        <v>0.15189852249261482</v>
      </c>
      <c r="AK251" s="108">
        <f>AK250/SUM(AB250:AE250)-1</f>
        <v>0.14394143421342465</v>
      </c>
      <c r="AL251" s="14">
        <f>AL250/AK250-1</f>
        <v>0.15069885614287237</v>
      </c>
      <c r="AM251" s="14">
        <f>AM250/AL250-1</f>
        <v>0.14882373711329855</v>
      </c>
      <c r="AN251" s="14">
        <f t="shared" ref="AN251:AT251" si="407">AN250/AM250-1</f>
        <v>0.14028077869846345</v>
      </c>
      <c r="AO251" s="14">
        <f t="shared" si="407"/>
        <v>0.13307193060309896</v>
      </c>
      <c r="AP251" s="14">
        <f t="shared" si="407"/>
        <v>0.12690485827492171</v>
      </c>
      <c r="AQ251" s="14">
        <f t="shared" si="407"/>
        <v>0.12156690603661779</v>
      </c>
      <c r="AR251" s="14">
        <f t="shared" si="407"/>
        <v>0.11689967874100682</v>
      </c>
      <c r="AS251" s="14">
        <f t="shared" si="407"/>
        <v>0.1127827704548765</v>
      </c>
      <c r="AT251" s="14">
        <f t="shared" si="407"/>
        <v>0.10912301720301021</v>
      </c>
      <c r="AU251" s="8" t="s">
        <v>29</v>
      </c>
    </row>
    <row r="252" spans="1:47" ht="16.2" customHeight="1" x14ac:dyDescent="0.3">
      <c r="B252" s="20" t="s">
        <v>37</v>
      </c>
      <c r="C252" s="21">
        <f>C250/C$167</f>
        <v>0.62167029811458585</v>
      </c>
      <c r="D252" s="21">
        <f t="shared" ref="D252:AJ252" si="408">D250/D$167</f>
        <v>0.72083372046207694</v>
      </c>
      <c r="E252" s="21">
        <f t="shared" si="408"/>
        <v>0.6496458861589578</v>
      </c>
      <c r="F252" s="21">
        <f t="shared" si="408"/>
        <v>0.60601910232353273</v>
      </c>
      <c r="G252" s="14">
        <f>G250/G167</f>
        <v>0.63025617811846912</v>
      </c>
      <c r="H252" s="21">
        <f t="shared" si="408"/>
        <v>0.66830360607034767</v>
      </c>
      <c r="I252" s="21">
        <f t="shared" si="408"/>
        <v>0.59637888817654461</v>
      </c>
      <c r="J252" s="21">
        <f t="shared" si="408"/>
        <v>0.5531013454822642</v>
      </c>
      <c r="K252" s="21">
        <f t="shared" si="408"/>
        <v>0.60272427513450988</v>
      </c>
      <c r="L252" s="14">
        <f>L250/L167</f>
        <v>0.59719315400148021</v>
      </c>
      <c r="M252" s="21">
        <f t="shared" si="408"/>
        <v>0.61081340270983042</v>
      </c>
      <c r="N252" s="21">
        <f t="shared" si="408"/>
        <v>0.51706756627374562</v>
      </c>
      <c r="O252" s="21">
        <f t="shared" si="408"/>
        <v>0.54904086649419792</v>
      </c>
      <c r="P252" s="21">
        <f t="shared" si="408"/>
        <v>0.59390691704892229</v>
      </c>
      <c r="Q252" s="14">
        <f>Q250/Q167</f>
        <v>0.56891839829712443</v>
      </c>
      <c r="R252" s="21">
        <f t="shared" si="408"/>
        <v>0.56675412714780149</v>
      </c>
      <c r="S252" s="21">
        <f t="shared" si="408"/>
        <v>0.53075818495117755</v>
      </c>
      <c r="T252" s="21">
        <f t="shared" si="408"/>
        <v>0.5552975025479604</v>
      </c>
      <c r="U252" s="21">
        <f t="shared" si="408"/>
        <v>0.57805958676568103</v>
      </c>
      <c r="V252" s="14">
        <f>V250/V167</f>
        <v>0.55961858048693913</v>
      </c>
      <c r="W252" s="21">
        <f t="shared" si="408"/>
        <v>0.5740379364979904</v>
      </c>
      <c r="X252" s="21">
        <f t="shared" si="408"/>
        <v>0.5338812375094889</v>
      </c>
      <c r="Y252" s="21">
        <f t="shared" si="408"/>
        <v>0.54122816132048857</v>
      </c>
      <c r="Z252" s="21">
        <f t="shared" si="408"/>
        <v>0.5591978749062938</v>
      </c>
      <c r="AA252" s="14">
        <f>AA250/AA167</f>
        <v>0.55199371018610344</v>
      </c>
      <c r="AB252" s="21">
        <f t="shared" si="408"/>
        <v>0.58535849108976845</v>
      </c>
      <c r="AC252" s="21">
        <f t="shared" si="408"/>
        <v>0.52770609429372095</v>
      </c>
      <c r="AD252" s="21">
        <f t="shared" si="408"/>
        <v>0.50063180930745377</v>
      </c>
      <c r="AE252" s="21">
        <f t="shared" si="408"/>
        <v>0.56826485533025706</v>
      </c>
      <c r="AF252" s="14">
        <f>AF250/AF167</f>
        <v>0.54514812277588909</v>
      </c>
      <c r="AG252" s="21">
        <f t="shared" si="408"/>
        <v>0.57477155712231554</v>
      </c>
      <c r="AH252" s="21">
        <f t="shared" si="408"/>
        <v>0.53466482298063822</v>
      </c>
      <c r="AI252" s="21">
        <f t="shared" si="408"/>
        <v>0.53904781956766301</v>
      </c>
      <c r="AJ252" s="21">
        <f t="shared" si="408"/>
        <v>0.56696551057086375</v>
      </c>
      <c r="AK252" s="108">
        <f t="shared" ref="AK252:AT252" si="409">AK250/AK167</f>
        <v>0.5547190221195909</v>
      </c>
      <c r="AL252" s="14">
        <f t="shared" si="409"/>
        <v>0.55940037164479506</v>
      </c>
      <c r="AM252" s="14">
        <f t="shared" si="409"/>
        <v>0.56503408231948826</v>
      </c>
      <c r="AN252" s="14">
        <f t="shared" si="409"/>
        <v>0.57013411654304169</v>
      </c>
      <c r="AO252" s="14">
        <f t="shared" si="409"/>
        <v>0.57480458322980865</v>
      </c>
      <c r="AP252" s="14">
        <f t="shared" si="409"/>
        <v>0.57912286270231417</v>
      </c>
      <c r="AQ252" s="14">
        <f t="shared" si="409"/>
        <v>0.58314769058853688</v>
      </c>
      <c r="AR252" s="14">
        <f t="shared" si="409"/>
        <v>0.58692447392030778</v>
      </c>
      <c r="AS252" s="14">
        <f t="shared" si="409"/>
        <v>0.59048888536835442</v>
      </c>
      <c r="AT252" s="14">
        <f t="shared" si="409"/>
        <v>0.59386935296679444</v>
      </c>
      <c r="AU252" s="8" t="s">
        <v>29</v>
      </c>
    </row>
    <row r="253" spans="1:47" ht="16.2" customHeight="1" x14ac:dyDescent="0.3">
      <c r="B253" s="20" t="s">
        <v>159</v>
      </c>
      <c r="C253" s="21">
        <f>C250/C256</f>
        <v>1.1544980604056017</v>
      </c>
      <c r="D253" s="21">
        <f t="shared" ref="D253:AG253" si="410">D250/D256</f>
        <v>1.0647062825861706</v>
      </c>
      <c r="E253" s="21">
        <f t="shared" si="410"/>
        <v>1.1032537075189783</v>
      </c>
      <c r="F253" s="21">
        <f t="shared" si="410"/>
        <v>1.1010973591028184</v>
      </c>
      <c r="G253" s="14">
        <f>G250/G256</f>
        <v>1.1087448917796394</v>
      </c>
      <c r="H253" s="21">
        <f t="shared" si="410"/>
        <v>1.1400934208286841</v>
      </c>
      <c r="I253" s="21">
        <f t="shared" si="410"/>
        <v>1.1165114530310043</v>
      </c>
      <c r="J253" s="21">
        <f t="shared" si="410"/>
        <v>1.1128641065271667</v>
      </c>
      <c r="K253" s="21">
        <f t="shared" si="410"/>
        <v>1.1274746585981199</v>
      </c>
      <c r="L253" s="14">
        <f>L250/L256</f>
        <v>1.1233182161753588</v>
      </c>
      <c r="M253" s="21">
        <f t="shared" si="410"/>
        <v>1.1488586367015639</v>
      </c>
      <c r="N253" s="21">
        <f t="shared" si="410"/>
        <v>1.1461636413572696</v>
      </c>
      <c r="O253" s="21">
        <f t="shared" si="410"/>
        <v>1.1391440884642368</v>
      </c>
      <c r="P253" s="21">
        <f t="shared" si="410"/>
        <v>1.1530261969286359</v>
      </c>
      <c r="Q253" s="14">
        <f>Q250/Q256</f>
        <v>1.1474692821056569</v>
      </c>
      <c r="R253" s="21">
        <f t="shared" si="410"/>
        <v>1.1867838207627841</v>
      </c>
      <c r="S253" s="21">
        <f t="shared" si="410"/>
        <v>1.1810832401342068</v>
      </c>
      <c r="T253" s="21">
        <f t="shared" si="410"/>
        <v>1.1561971830985915</v>
      </c>
      <c r="U253" s="21">
        <f t="shared" si="410"/>
        <v>1.1626280588141622</v>
      </c>
      <c r="V253" s="14">
        <f>V250/V256</f>
        <v>1.1700667267889955</v>
      </c>
      <c r="W253" s="21">
        <f t="shared" si="410"/>
        <v>1.1905889124057776</v>
      </c>
      <c r="X253" s="21">
        <f t="shared" si="410"/>
        <v>1.1875188449245773</v>
      </c>
      <c r="Y253" s="21">
        <f t="shared" si="410"/>
        <v>1.1584268118658911</v>
      </c>
      <c r="Z253" s="21">
        <f t="shared" si="410"/>
        <v>1.1646170381264849</v>
      </c>
      <c r="AA253" s="14">
        <f>AA250/AA256</f>
        <v>1.1735002056139014</v>
      </c>
      <c r="AB253" s="21">
        <f t="shared" si="410"/>
        <v>1.1952347890157851</v>
      </c>
      <c r="AC253" s="21">
        <f t="shared" si="410"/>
        <v>1.194570082713766</v>
      </c>
      <c r="AD253" s="21">
        <f t="shared" si="410"/>
        <v>1.1691836533913136</v>
      </c>
      <c r="AE253" s="21">
        <f t="shared" si="410"/>
        <v>1.1636114923897818</v>
      </c>
      <c r="AF253" s="14">
        <f>AF250/AF256</f>
        <v>1.1785809481758229</v>
      </c>
      <c r="AG253" s="21">
        <f t="shared" si="410"/>
        <v>1.2180772633441463</v>
      </c>
      <c r="AH253" s="63">
        <f>AC253</f>
        <v>1.194570082713766</v>
      </c>
      <c r="AI253" s="63">
        <f>AD253</f>
        <v>1.1691836533913136</v>
      </c>
      <c r="AJ253" s="63">
        <f>AE253</f>
        <v>1.1636114923897818</v>
      </c>
      <c r="AK253" s="108">
        <f>AK250/AK256</f>
        <v>1.1835227537934632</v>
      </c>
      <c r="AL253" s="64">
        <f>AK253</f>
        <v>1.1835227537934632</v>
      </c>
      <c r="AM253" s="64">
        <f>AL253</f>
        <v>1.1835227537934632</v>
      </c>
      <c r="AN253" s="64">
        <f t="shared" ref="AN253:AT253" si="411">AM253</f>
        <v>1.1835227537934632</v>
      </c>
      <c r="AO253" s="64">
        <f t="shared" si="411"/>
        <v>1.1835227537934632</v>
      </c>
      <c r="AP253" s="64">
        <f t="shared" si="411"/>
        <v>1.1835227537934632</v>
      </c>
      <c r="AQ253" s="64">
        <f t="shared" si="411"/>
        <v>1.1835227537934632</v>
      </c>
      <c r="AR253" s="64">
        <f t="shared" si="411"/>
        <v>1.1835227537934632</v>
      </c>
      <c r="AS253" s="64">
        <f t="shared" si="411"/>
        <v>1.1835227537934632</v>
      </c>
      <c r="AT253" s="64">
        <f t="shared" si="411"/>
        <v>1.1835227537934632</v>
      </c>
      <c r="AU253" s="8" t="s">
        <v>29</v>
      </c>
    </row>
    <row r="254" spans="1:47" ht="16.2" customHeight="1" x14ac:dyDescent="0.3">
      <c r="B254" s="24" t="s">
        <v>160</v>
      </c>
      <c r="C254" s="21">
        <f t="shared" ref="C254:AT254" si="412">(C250+C197)/C256</f>
        <v>0.9833816136890825</v>
      </c>
      <c r="D254" s="21">
        <f t="shared" si="412"/>
        <v>0.99183508567275402</v>
      </c>
      <c r="E254" s="21">
        <f t="shared" si="412"/>
        <v>0.99036694693468441</v>
      </c>
      <c r="F254" s="21">
        <f t="shared" si="412"/>
        <v>0.99261118845854479</v>
      </c>
      <c r="G254" s="14">
        <f t="shared" si="412"/>
        <v>0.99007205153759215</v>
      </c>
      <c r="H254" s="21">
        <f t="shared" si="412"/>
        <v>0.99181149416592584</v>
      </c>
      <c r="I254" s="21">
        <f t="shared" si="412"/>
        <v>0.98127313743637201</v>
      </c>
      <c r="J254" s="21">
        <f t="shared" si="412"/>
        <v>0.98960884555938644</v>
      </c>
      <c r="K254" s="21">
        <f t="shared" si="412"/>
        <v>0.99887770585119262</v>
      </c>
      <c r="L254" s="14">
        <f t="shared" si="412"/>
        <v>0.99141156462585023</v>
      </c>
      <c r="M254" s="21">
        <f t="shared" si="412"/>
        <v>0.99608779905180944</v>
      </c>
      <c r="N254" s="21">
        <f t="shared" si="412"/>
        <v>0.98601782727023035</v>
      </c>
      <c r="O254" s="21">
        <f t="shared" si="412"/>
        <v>0.99239412465617649</v>
      </c>
      <c r="P254" s="21">
        <f t="shared" si="412"/>
        <v>0.99339807286961768</v>
      </c>
      <c r="Q254" s="14">
        <f t="shared" si="412"/>
        <v>0.99220098130938261</v>
      </c>
      <c r="R254" s="21">
        <f t="shared" si="412"/>
        <v>1.0007910039336412</v>
      </c>
      <c r="S254" s="21">
        <f t="shared" si="412"/>
        <v>0.99834904404324443</v>
      </c>
      <c r="T254" s="21">
        <f t="shared" si="412"/>
        <v>1.001830985915493</v>
      </c>
      <c r="U254" s="21">
        <f t="shared" si="412"/>
        <v>1.0005042730505866</v>
      </c>
      <c r="V254" s="14">
        <f t="shared" si="412"/>
        <v>1.0004273033336406</v>
      </c>
      <c r="W254" s="21">
        <f t="shared" si="412"/>
        <v>1.0015502580669116</v>
      </c>
      <c r="X254" s="21">
        <f t="shared" si="412"/>
        <v>1.008993874861086</v>
      </c>
      <c r="Y254" s="21">
        <f t="shared" si="412"/>
        <v>1.0034568052403947</v>
      </c>
      <c r="Z254" s="21">
        <f t="shared" si="412"/>
        <v>1.0039427537051704</v>
      </c>
      <c r="AA254" s="14">
        <f t="shared" si="412"/>
        <v>1.0044506850337283</v>
      </c>
      <c r="AB254" s="21">
        <f t="shared" si="412"/>
        <v>1.0053702496670163</v>
      </c>
      <c r="AC254" s="21">
        <f t="shared" si="412"/>
        <v>1.0100956478982621</v>
      </c>
      <c r="AD254" s="21">
        <f t="shared" si="412"/>
        <v>0.96703174394138702</v>
      </c>
      <c r="AE254" s="21">
        <f t="shared" si="412"/>
        <v>1.0020050313169029</v>
      </c>
      <c r="AF254" s="14">
        <f t="shared" si="412"/>
        <v>0.9962454891162863</v>
      </c>
      <c r="AG254" s="21">
        <f t="shared" si="412"/>
        <v>1.01008797798093</v>
      </c>
      <c r="AH254" s="21">
        <f t="shared" si="412"/>
        <v>1.194570082713766</v>
      </c>
      <c r="AI254" s="21">
        <f t="shared" si="412"/>
        <v>1.1691836533913136</v>
      </c>
      <c r="AJ254" s="21">
        <f t="shared" si="412"/>
        <v>1.1636114923897818</v>
      </c>
      <c r="AK254" s="108">
        <f t="shared" si="412"/>
        <v>1.1379595697581728</v>
      </c>
      <c r="AL254" s="14">
        <f t="shared" si="412"/>
        <v>1.1835227537934632</v>
      </c>
      <c r="AM254" s="14">
        <f t="shared" si="412"/>
        <v>1.1835227537934632</v>
      </c>
      <c r="AN254" s="14">
        <f t="shared" si="412"/>
        <v>1.1835227537934632</v>
      </c>
      <c r="AO254" s="14">
        <f t="shared" si="412"/>
        <v>1.1835227537934632</v>
      </c>
      <c r="AP254" s="14">
        <f t="shared" si="412"/>
        <v>1.1835227537934632</v>
      </c>
      <c r="AQ254" s="14">
        <f t="shared" si="412"/>
        <v>1.1835227537934632</v>
      </c>
      <c r="AR254" s="14">
        <f t="shared" si="412"/>
        <v>1.1835227537934632</v>
      </c>
      <c r="AS254" s="14">
        <f t="shared" si="412"/>
        <v>1.1835227537934632</v>
      </c>
      <c r="AT254" s="14">
        <f t="shared" si="412"/>
        <v>1.1835227537934632</v>
      </c>
      <c r="AU254" s="8" t="s">
        <v>29</v>
      </c>
    </row>
    <row r="255" spans="1:47" ht="7.95" customHeight="1" x14ac:dyDescent="0.3">
      <c r="G255" s="7"/>
      <c r="L255" s="7"/>
      <c r="Q255" s="7"/>
      <c r="V255" s="7"/>
      <c r="AA255" s="7"/>
      <c r="AF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8" t="s">
        <v>29</v>
      </c>
    </row>
    <row r="256" spans="1:47" ht="16.2" customHeight="1" x14ac:dyDescent="0.3">
      <c r="B256" s="6" t="s">
        <v>161</v>
      </c>
      <c r="C256" s="33">
        <f t="shared" ref="C256:F256" si="413">C259+C262</f>
        <v>42.754510979999999</v>
      </c>
      <c r="D256" s="33">
        <f t="shared" si="413"/>
        <v>21.860489019999999</v>
      </c>
      <c r="E256" s="33">
        <f t="shared" si="413"/>
        <v>53.877000000000002</v>
      </c>
      <c r="F256" s="33">
        <f t="shared" si="413"/>
        <v>91.219000000000008</v>
      </c>
      <c r="G256" s="34">
        <f>SUM(C256:F256)</f>
        <v>209.71100000000001</v>
      </c>
      <c r="H256" s="33">
        <f>H259+H262</f>
        <v>52.879000000000005</v>
      </c>
      <c r="I256" s="33">
        <f t="shared" ref="I256:AJ256" si="414">I259+I262</f>
        <v>69.152000000000001</v>
      </c>
      <c r="J256" s="33">
        <f t="shared" si="414"/>
        <v>84.11</v>
      </c>
      <c r="K256" s="33">
        <f t="shared" si="414"/>
        <v>111.379</v>
      </c>
      <c r="L256" s="34">
        <f>SUM(H256:K256)</f>
        <v>317.52000000000004</v>
      </c>
      <c r="M256" s="33">
        <f t="shared" si="414"/>
        <v>82.050999999999988</v>
      </c>
      <c r="N256" s="33">
        <f t="shared" si="414"/>
        <v>80.102000000000004</v>
      </c>
      <c r="O256" s="33">
        <f t="shared" si="414"/>
        <v>89.799000000000007</v>
      </c>
      <c r="P256" s="33">
        <f t="shared" si="414"/>
        <v>132.84</v>
      </c>
      <c r="Q256" s="34">
        <f>SUM(M256:P256)</f>
        <v>384.79200000000003</v>
      </c>
      <c r="R256" s="33">
        <f t="shared" si="414"/>
        <v>93.552000000000007</v>
      </c>
      <c r="S256" s="33">
        <f t="shared" si="414"/>
        <v>93.884999999999991</v>
      </c>
      <c r="T256" s="33">
        <f t="shared" si="414"/>
        <v>106.5</v>
      </c>
      <c r="U256" s="33">
        <f t="shared" si="414"/>
        <v>150.71199999999999</v>
      </c>
      <c r="V256" s="34">
        <f>SUM(R256:U256)</f>
        <v>444.649</v>
      </c>
      <c r="W256" s="33">
        <f t="shared" si="414"/>
        <v>107.724</v>
      </c>
      <c r="X256" s="33">
        <f t="shared" si="414"/>
        <v>116.07900000000001</v>
      </c>
      <c r="Y256" s="33">
        <f t="shared" si="414"/>
        <v>125.90178205999997</v>
      </c>
      <c r="Z256" s="33">
        <f t="shared" si="414"/>
        <v>176.78</v>
      </c>
      <c r="AA256" s="34">
        <f>SUM(W256:Z256)</f>
        <v>526.48478205999993</v>
      </c>
      <c r="AB256" s="33">
        <f t="shared" si="414"/>
        <v>141.148</v>
      </c>
      <c r="AC256" s="33">
        <f t="shared" si="414"/>
        <v>143.45077152000005</v>
      </c>
      <c r="AD256" s="33">
        <f t="shared" si="414"/>
        <v>154.18108136999999</v>
      </c>
      <c r="AE256" s="33">
        <f t="shared" si="414"/>
        <v>213.46299999999999</v>
      </c>
      <c r="AF256" s="34">
        <f>SUM(AB256:AE256)</f>
        <v>652.24285288999999</v>
      </c>
      <c r="AG256" s="33">
        <f t="shared" si="414"/>
        <v>162.768</v>
      </c>
      <c r="AH256" s="33">
        <f t="shared" si="414"/>
        <v>160.16182525731872</v>
      </c>
      <c r="AI256" s="33">
        <f t="shared" si="414"/>
        <v>174.19462512079332</v>
      </c>
      <c r="AJ256" s="33">
        <f t="shared" si="414"/>
        <v>245.88771430684108</v>
      </c>
      <c r="AK256" s="34">
        <f>SUM(AG256:AJ256)</f>
        <v>743.01216468495318</v>
      </c>
      <c r="AL256" s="34">
        <f>AL259+AL262</f>
        <v>854.98324800321518</v>
      </c>
      <c r="AM256" s="34">
        <f>AM259+AM262</f>
        <v>982.22505014031969</v>
      </c>
      <c r="AN256" s="34">
        <f t="shared" ref="AN256:AT256" si="415">AN259+AN262</f>
        <v>1120.0123450311412</v>
      </c>
      <c r="AO256" s="34">
        <f t="shared" si="415"/>
        <v>1269.0545500837393</v>
      </c>
      <c r="AP256" s="34">
        <f t="shared" si="415"/>
        <v>1430.1037379052607</v>
      </c>
      <c r="AQ256" s="34">
        <f t="shared" si="415"/>
        <v>1603.9570246338055</v>
      </c>
      <c r="AR256" s="34">
        <f t="shared" si="415"/>
        <v>1791.4590855278789</v>
      </c>
      <c r="AS256" s="34">
        <f t="shared" si="415"/>
        <v>1993.5048043502725</v>
      </c>
      <c r="AT256" s="34">
        <f t="shared" si="415"/>
        <v>2211.0420634096708</v>
      </c>
      <c r="AU256" s="8" t="s">
        <v>29</v>
      </c>
    </row>
    <row r="257" spans="1:47" ht="16.2" customHeight="1" x14ac:dyDescent="0.3">
      <c r="B257" s="20" t="s">
        <v>56</v>
      </c>
      <c r="C257" s="21"/>
      <c r="D257" s="21"/>
      <c r="E257" s="21"/>
      <c r="F257" s="21"/>
      <c r="G257" s="14"/>
      <c r="H257" s="21">
        <f t="shared" ref="H257:K257" si="416">H256/C256-1</f>
        <v>0.23680516483362668</v>
      </c>
      <c r="I257" s="21">
        <f t="shared" si="416"/>
        <v>2.1633327112094038</v>
      </c>
      <c r="J257" s="21">
        <f t="shared" si="416"/>
        <v>0.56114854204948306</v>
      </c>
      <c r="K257" s="21">
        <f t="shared" si="416"/>
        <v>0.22100658853966815</v>
      </c>
      <c r="L257" s="14">
        <f>L256/SUM(C256:F256)-1</f>
        <v>0.51408366752340129</v>
      </c>
      <c r="M257" s="21">
        <f t="shared" ref="M257:P257" si="417">M256/H256-1</f>
        <v>0.55167457780971607</v>
      </c>
      <c r="N257" s="21">
        <f t="shared" si="417"/>
        <v>0.15834683017121698</v>
      </c>
      <c r="O257" s="21">
        <f t="shared" si="417"/>
        <v>6.7637617405778228E-2</v>
      </c>
      <c r="P257" s="21">
        <f t="shared" si="417"/>
        <v>0.19268443782041489</v>
      </c>
      <c r="Q257" s="14">
        <f>Q256/SUM(H256:K256)-1</f>
        <v>0.21186696900982604</v>
      </c>
      <c r="R257" s="21">
        <f t="shared" ref="R257:U257" si="418">R256/M256-1</f>
        <v>0.14016891933066056</v>
      </c>
      <c r="S257" s="21">
        <f t="shared" si="418"/>
        <v>0.17206811315572623</v>
      </c>
      <c r="T257" s="21">
        <f t="shared" si="418"/>
        <v>0.18598202652590778</v>
      </c>
      <c r="U257" s="21">
        <f t="shared" si="418"/>
        <v>0.13453778982234255</v>
      </c>
      <c r="V257" s="14">
        <f>V256/SUM(M256:P256)-1</f>
        <v>0.15555676833198184</v>
      </c>
      <c r="W257" s="21">
        <f t="shared" ref="W257:Z257" si="419">W256/R256-1</f>
        <v>0.15148794253463316</v>
      </c>
      <c r="X257" s="21">
        <f t="shared" si="419"/>
        <v>0.23639559034989643</v>
      </c>
      <c r="Y257" s="21">
        <f t="shared" si="419"/>
        <v>0.18217635737089166</v>
      </c>
      <c r="Z257" s="21">
        <f t="shared" si="419"/>
        <v>0.17296565635118655</v>
      </c>
      <c r="AA257" s="14">
        <f>AA256/SUM(R256:U256)-1</f>
        <v>0.18404580255437408</v>
      </c>
      <c r="AB257" s="21">
        <f t="shared" ref="AB257:AE257" si="420">AB256/W256-1</f>
        <v>0.3102744049608257</v>
      </c>
      <c r="AC257" s="21">
        <f t="shared" si="420"/>
        <v>0.2358029576409173</v>
      </c>
      <c r="AD257" s="21">
        <f t="shared" si="420"/>
        <v>0.22461397167931407</v>
      </c>
      <c r="AE257" s="21">
        <f t="shared" si="420"/>
        <v>0.20750650526077608</v>
      </c>
      <c r="AF257" s="14">
        <f>AF256/SUM(W256:Z256)-1</f>
        <v>0.23886363882720585</v>
      </c>
      <c r="AG257" s="21">
        <f t="shared" ref="AG257:AJ257" si="421">AG256/AB256-1</f>
        <v>0.15317255646555394</v>
      </c>
      <c r="AH257" s="21">
        <f t="shared" si="421"/>
        <v>0.11649329982856726</v>
      </c>
      <c r="AI257" s="21">
        <f t="shared" si="421"/>
        <v>0.12980544417615891</v>
      </c>
      <c r="AJ257" s="21">
        <f t="shared" si="421"/>
        <v>0.15189852249261504</v>
      </c>
      <c r="AK257" s="108">
        <f>AK256/SUM(AB256:AE256)-1</f>
        <v>0.13916490060836484</v>
      </c>
      <c r="AL257" s="14">
        <f>AL256/AK256-1</f>
        <v>0.15069885614287237</v>
      </c>
      <c r="AM257" s="14">
        <f>AM256/AL256-1</f>
        <v>0.14882373711329833</v>
      </c>
      <c r="AN257" s="14">
        <f t="shared" ref="AN257:AT257" si="422">AN256/AM256-1</f>
        <v>0.14028077869846367</v>
      </c>
      <c r="AO257" s="14">
        <f t="shared" si="422"/>
        <v>0.13307193060309896</v>
      </c>
      <c r="AP257" s="14">
        <f t="shared" si="422"/>
        <v>0.12690485827492171</v>
      </c>
      <c r="AQ257" s="14">
        <f t="shared" si="422"/>
        <v>0.12156690603661779</v>
      </c>
      <c r="AR257" s="14">
        <f t="shared" si="422"/>
        <v>0.11689967874100704</v>
      </c>
      <c r="AS257" s="14">
        <f t="shared" si="422"/>
        <v>0.1127827704548765</v>
      </c>
      <c r="AT257" s="14">
        <f t="shared" si="422"/>
        <v>0.10912301720301021</v>
      </c>
      <c r="AU257" s="8" t="s">
        <v>29</v>
      </c>
    </row>
    <row r="258" spans="1:47" ht="7.95" customHeight="1" x14ac:dyDescent="0.3">
      <c r="G258" s="7"/>
      <c r="L258" s="7"/>
      <c r="Q258" s="7"/>
      <c r="V258" s="7"/>
      <c r="AA258" s="7"/>
      <c r="AF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8" t="s">
        <v>29</v>
      </c>
    </row>
    <row r="259" spans="1:47" ht="16.2" customHeight="1" x14ac:dyDescent="0.3">
      <c r="B259" s="20" t="s">
        <v>152</v>
      </c>
      <c r="C259" s="22">
        <f>C221</f>
        <v>36.81305098</v>
      </c>
      <c r="D259" s="22">
        <f>D221</f>
        <v>5.37794902</v>
      </c>
      <c r="E259" s="22">
        <f>E221</f>
        <v>37.417000000000002</v>
      </c>
      <c r="F259" s="22">
        <f>F221</f>
        <v>77.052000000000007</v>
      </c>
      <c r="G259" s="23">
        <f>SUM(C259:F259)</f>
        <v>156.66000000000003</v>
      </c>
      <c r="H259" s="22">
        <f>H221</f>
        <v>39.883000000000003</v>
      </c>
      <c r="I259" s="22">
        <f>I221</f>
        <v>57.482999999999997</v>
      </c>
      <c r="J259" s="22">
        <f>J221</f>
        <v>75.504000000000005</v>
      </c>
      <c r="K259" s="22">
        <f>K221</f>
        <v>105.15</v>
      </c>
      <c r="L259" s="23">
        <f>SUM(H259:K259)</f>
        <v>278.02</v>
      </c>
      <c r="M259" s="22">
        <f>M221</f>
        <v>73.849999999999994</v>
      </c>
      <c r="N259" s="22">
        <f>N221</f>
        <v>76.304000000000002</v>
      </c>
      <c r="O259" s="22">
        <f>O221</f>
        <v>84.04</v>
      </c>
      <c r="P259" s="22">
        <f>P221</f>
        <v>126.983</v>
      </c>
      <c r="Q259" s="23">
        <f>SUM(M259:P259)</f>
        <v>361.17700000000002</v>
      </c>
      <c r="R259" s="22">
        <f>R221</f>
        <v>89.578000000000003</v>
      </c>
      <c r="S259" s="22">
        <f>S221</f>
        <v>91.078999999999994</v>
      </c>
      <c r="T259" s="22">
        <f>T221</f>
        <v>101.6</v>
      </c>
      <c r="U259" s="22">
        <f>U221</f>
        <v>142.86199999999999</v>
      </c>
      <c r="V259" s="23">
        <f>SUM(R259:U259)</f>
        <v>425.11899999999991</v>
      </c>
      <c r="W259" s="22">
        <f>W221</f>
        <v>98.884</v>
      </c>
      <c r="X259" s="22">
        <f>X221</f>
        <v>108.765</v>
      </c>
      <c r="Y259" s="22">
        <f>Y221</f>
        <v>114.11664266999998</v>
      </c>
      <c r="Z259" s="22">
        <f>Z221</f>
        <v>165.06700000000001</v>
      </c>
      <c r="AA259" s="23">
        <f>SUM(W259:Z259)</f>
        <v>486.83264266999998</v>
      </c>
      <c r="AB259" s="22">
        <f>AB221</f>
        <v>128.523</v>
      </c>
      <c r="AC259" s="22">
        <f>AC221</f>
        <v>130.54824564000003</v>
      </c>
      <c r="AD259" s="22">
        <f>AD221</f>
        <v>140.53230809999999</v>
      </c>
      <c r="AE259" s="22">
        <f>AE221</f>
        <v>197.51</v>
      </c>
      <c r="AF259" s="23">
        <f>SUM(AB259:AE259)</f>
        <v>597.11355374000004</v>
      </c>
      <c r="AG259" s="22">
        <f>AG221</f>
        <v>143.816</v>
      </c>
      <c r="AH259" s="22">
        <f>AH221</f>
        <v>146.58956748521049</v>
      </c>
      <c r="AI259" s="22">
        <f>AI221</f>
        <v>158.97164736299712</v>
      </c>
      <c r="AJ259" s="22">
        <f>AJ221</f>
        <v>225.0098956033676</v>
      </c>
      <c r="AK259" s="23">
        <f>SUM(AG259:AJ259)</f>
        <v>674.38711045157515</v>
      </c>
      <c r="AL259" s="23">
        <f t="shared" ref="AL259:AT259" si="423">AL221</f>
        <v>767.84530027572691</v>
      </c>
      <c r="AM259" s="23">
        <f t="shared" si="423"/>
        <v>873.30723512170971</v>
      </c>
      <c r="AN259" s="23">
        <f t="shared" si="423"/>
        <v>985.97757227493003</v>
      </c>
      <c r="AO259" s="23">
        <f t="shared" si="423"/>
        <v>1106.2642448242132</v>
      </c>
      <c r="AP259" s="23">
        <f t="shared" si="423"/>
        <v>1234.5962870617991</v>
      </c>
      <c r="AQ259" s="23">
        <f t="shared" si="423"/>
        <v>1371.4248698866732</v>
      </c>
      <c r="AR259" s="23">
        <f t="shared" si="423"/>
        <v>1517.2243852782385</v>
      </c>
      <c r="AS259" s="23">
        <f t="shared" si="423"/>
        <v>1672.49358210931</v>
      </c>
      <c r="AT259" s="23">
        <f t="shared" si="423"/>
        <v>1837.7567556704225</v>
      </c>
      <c r="AU259" s="8" t="s">
        <v>29</v>
      </c>
    </row>
    <row r="260" spans="1:47" ht="16.2" customHeight="1" x14ac:dyDescent="0.3">
      <c r="B260" s="24" t="s">
        <v>35</v>
      </c>
      <c r="G260" s="7"/>
      <c r="H260" s="21">
        <f t="shared" ref="H260:K260" si="424">H259/C259-1</f>
        <v>8.3392952723963631E-2</v>
      </c>
      <c r="I260" s="21">
        <f t="shared" si="424"/>
        <v>9.6886472493932256</v>
      </c>
      <c r="J260" s="21">
        <f t="shared" si="424"/>
        <v>1.0179062992757304</v>
      </c>
      <c r="K260" s="21">
        <f t="shared" si="424"/>
        <v>0.36466282510512382</v>
      </c>
      <c r="L260" s="14">
        <f>L259/SUM(C259:F259)-1</f>
        <v>0.77467126260691899</v>
      </c>
      <c r="M260" s="21">
        <f t="shared" ref="M260:P260" si="425">M259/H259-1</f>
        <v>0.85166612341097681</v>
      </c>
      <c r="N260" s="21">
        <f t="shared" si="425"/>
        <v>0.32741854113390056</v>
      </c>
      <c r="O260" s="21">
        <f t="shared" si="425"/>
        <v>0.11305361305361306</v>
      </c>
      <c r="P260" s="21">
        <f t="shared" si="425"/>
        <v>0.20763670946267232</v>
      </c>
      <c r="Q260" s="14">
        <f>Q259/SUM(H259:K259)-1</f>
        <v>0.29910438097978576</v>
      </c>
      <c r="R260" s="21">
        <f t="shared" ref="R260:U260" si="426">R259/M259-1</f>
        <v>0.21297224102911327</v>
      </c>
      <c r="S260" s="21">
        <f t="shared" si="426"/>
        <v>0.19363336129167519</v>
      </c>
      <c r="T260" s="21">
        <f t="shared" si="426"/>
        <v>0.2089481199428842</v>
      </c>
      <c r="U260" s="21">
        <f t="shared" si="426"/>
        <v>0.12504823480308369</v>
      </c>
      <c r="V260" s="14">
        <f>V259/SUM(M259:P259)-1</f>
        <v>0.17703785124744909</v>
      </c>
      <c r="W260" s="21">
        <f t="shared" ref="W260:Z260" si="427">W259/R259-1</f>
        <v>0.10388711513987814</v>
      </c>
      <c r="X260" s="21">
        <f t="shared" si="427"/>
        <v>0.1941830718387334</v>
      </c>
      <c r="Y260" s="21">
        <f t="shared" si="427"/>
        <v>0.12319530187007866</v>
      </c>
      <c r="Z260" s="21">
        <f t="shared" si="427"/>
        <v>0.15542971538967687</v>
      </c>
      <c r="AA260" s="14">
        <f>AA259/SUM(R259:U259)-1</f>
        <v>0.14516792396952405</v>
      </c>
      <c r="AB260" s="21">
        <f t="shared" ref="AB260:AE260" si="428">AB259/W259-1</f>
        <v>0.29973504308078147</v>
      </c>
      <c r="AC260" s="21">
        <f t="shared" si="428"/>
        <v>0.20027808247138346</v>
      </c>
      <c r="AD260" s="21">
        <f t="shared" si="428"/>
        <v>0.2314795179033462</v>
      </c>
      <c r="AE260" s="21">
        <f t="shared" si="428"/>
        <v>0.19654443347246864</v>
      </c>
      <c r="AF260" s="14">
        <f>AF259/SUM(W259:Z259)-1</f>
        <v>0.22652735540733682</v>
      </c>
      <c r="AG260" s="21">
        <f t="shared" ref="AG260:AJ260" si="429">AG259/AB259-1</f>
        <v>0.11899037526357148</v>
      </c>
      <c r="AH260" s="21">
        <f t="shared" si="429"/>
        <v>0.12287657920310946</v>
      </c>
      <c r="AI260" s="21">
        <f t="shared" si="429"/>
        <v>0.13121067683508092</v>
      </c>
      <c r="AJ260" s="21">
        <f t="shared" si="429"/>
        <v>0.13923292797006526</v>
      </c>
      <c r="AK260" s="108">
        <f>AK259/SUM(AB259:AE259)-1</f>
        <v>0.12941182833244169</v>
      </c>
      <c r="AL260" s="14">
        <f>AL259/AK259-1</f>
        <v>0.13858240819812129</v>
      </c>
      <c r="AM260" s="14">
        <f>AM259/AL259-1</f>
        <v>0.13734789391575664</v>
      </c>
      <c r="AN260" s="14">
        <f t="shared" ref="AN260:AT260" si="430">AN259/AM259-1</f>
        <v>0.12901569186875883</v>
      </c>
      <c r="AO260" s="14">
        <f t="shared" si="430"/>
        <v>0.12199737187910631</v>
      </c>
      <c r="AP260" s="14">
        <f t="shared" si="430"/>
        <v>0.11600487210718624</v>
      </c>
      <c r="AQ260" s="14">
        <f t="shared" si="430"/>
        <v>0.11082860385925075</v>
      </c>
      <c r="AR260" s="14">
        <f t="shared" si="430"/>
        <v>0.10631243358129661</v>
      </c>
      <c r="AS260" s="14">
        <f t="shared" si="430"/>
        <v>0.10233766233766217</v>
      </c>
      <c r="AT260" s="14">
        <f t="shared" si="430"/>
        <v>9.8812441093308445E-2</v>
      </c>
      <c r="AU260" s="8" t="s">
        <v>29</v>
      </c>
    </row>
    <row r="261" spans="1:47" ht="7.95" customHeight="1" x14ac:dyDescent="0.3">
      <c r="G261" s="7"/>
      <c r="L261" s="7"/>
      <c r="Q261" s="7"/>
      <c r="V261" s="7"/>
      <c r="AA261" s="7"/>
      <c r="AF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8" t="s">
        <v>29</v>
      </c>
    </row>
    <row r="262" spans="1:47" ht="16.2" customHeight="1" x14ac:dyDescent="0.3">
      <c r="B262" s="20" t="s">
        <v>154</v>
      </c>
      <c r="C262" s="22">
        <f>C229</f>
        <v>5.9414599999999993</v>
      </c>
      <c r="D262" s="22">
        <f>D229</f>
        <v>16.48254</v>
      </c>
      <c r="E262" s="22">
        <f>E229</f>
        <v>16.46</v>
      </c>
      <c r="F262" s="22">
        <f>F229</f>
        <v>14.167</v>
      </c>
      <c r="G262" s="23">
        <f>SUM(C262:F262)</f>
        <v>53.051000000000002</v>
      </c>
      <c r="H262" s="22">
        <f>H229</f>
        <v>12.996</v>
      </c>
      <c r="I262" s="22">
        <f>I229</f>
        <v>11.669</v>
      </c>
      <c r="J262" s="22">
        <f>J229</f>
        <v>8.6059999999999999</v>
      </c>
      <c r="K262" s="22">
        <f>K229</f>
        <v>6.2290000000000001</v>
      </c>
      <c r="L262" s="23">
        <f>SUM(H262:K262)</f>
        <v>39.5</v>
      </c>
      <c r="M262" s="22">
        <f>M229</f>
        <v>8.2010000000000005</v>
      </c>
      <c r="N262" s="22">
        <f>N229</f>
        <v>3.798</v>
      </c>
      <c r="O262" s="22">
        <f>O229</f>
        <v>5.7590000000000003</v>
      </c>
      <c r="P262" s="22">
        <f>P229</f>
        <v>5.8570000000000002</v>
      </c>
      <c r="Q262" s="23">
        <f>SUM(M262:P262)</f>
        <v>23.615000000000002</v>
      </c>
      <c r="R262" s="22">
        <f>R229</f>
        <v>3.9740000000000002</v>
      </c>
      <c r="S262" s="22">
        <f>S229</f>
        <v>2.806</v>
      </c>
      <c r="T262" s="22">
        <f>T229</f>
        <v>4.9000000000000004</v>
      </c>
      <c r="U262" s="22">
        <f>U229</f>
        <v>7.85</v>
      </c>
      <c r="V262" s="23">
        <f>SUM(R262:U262)</f>
        <v>19.53</v>
      </c>
      <c r="W262" s="22">
        <f>W229</f>
        <v>8.84</v>
      </c>
      <c r="X262" s="22">
        <f>X229</f>
        <v>7.3140000000000001</v>
      </c>
      <c r="Y262" s="22">
        <f>Y229</f>
        <v>11.785139389999999</v>
      </c>
      <c r="Z262" s="22">
        <f>Z229</f>
        <v>11.712999999999999</v>
      </c>
      <c r="AA262" s="23">
        <f>SUM(W262:Z262)</f>
        <v>39.652139390000002</v>
      </c>
      <c r="AB262" s="22">
        <f>AB229</f>
        <v>12.625</v>
      </c>
      <c r="AC262" s="22">
        <f>AC229</f>
        <v>12.902525880000001</v>
      </c>
      <c r="AD262" s="22">
        <f>AD229</f>
        <v>13.648773270000001</v>
      </c>
      <c r="AE262" s="22">
        <f>AE229</f>
        <v>15.952999999999999</v>
      </c>
      <c r="AF262" s="23">
        <f>SUM(AB262:AE262)</f>
        <v>55.129299149999994</v>
      </c>
      <c r="AG262" s="22">
        <f>AG229</f>
        <v>18.952000000000002</v>
      </c>
      <c r="AH262" s="22">
        <f>AH229</f>
        <v>13.572257772108241</v>
      </c>
      <c r="AI262" s="22">
        <f>AI229</f>
        <v>15.22297775779621</v>
      </c>
      <c r="AJ262" s="22">
        <f>AJ229</f>
        <v>20.877818703473494</v>
      </c>
      <c r="AK262" s="23">
        <f>SUM(AG262:AJ262)</f>
        <v>68.625054233377938</v>
      </c>
      <c r="AL262" s="23">
        <f t="shared" ref="AL262:AT262" si="431">AL229</f>
        <v>87.137947727488296</v>
      </c>
      <c r="AM262" s="23">
        <f t="shared" si="431"/>
        <v>108.91781501861003</v>
      </c>
      <c r="AN262" s="23">
        <f t="shared" si="431"/>
        <v>134.03477275621108</v>
      </c>
      <c r="AO262" s="23">
        <f t="shared" si="431"/>
        <v>162.79030525952615</v>
      </c>
      <c r="AP262" s="23">
        <f t="shared" si="431"/>
        <v>195.50745084346158</v>
      </c>
      <c r="AQ262" s="23">
        <f t="shared" si="431"/>
        <v>232.53215474713232</v>
      </c>
      <c r="AR262" s="23">
        <f t="shared" si="431"/>
        <v>274.23470024964041</v>
      </c>
      <c r="AS262" s="23">
        <f t="shared" si="431"/>
        <v>321.01122224096252</v>
      </c>
      <c r="AT262" s="23">
        <f t="shared" si="431"/>
        <v>373.28530773924831</v>
      </c>
      <c r="AU262" s="8" t="s">
        <v>29</v>
      </c>
    </row>
    <row r="263" spans="1:47" ht="16.2" customHeight="1" x14ac:dyDescent="0.3">
      <c r="B263" s="24" t="s">
        <v>35</v>
      </c>
      <c r="G263" s="7"/>
      <c r="H263" s="21">
        <f t="shared" ref="H263:K263" si="432">H262/C262-1</f>
        <v>1.1873411585704527</v>
      </c>
      <c r="I263" s="21">
        <f t="shared" si="432"/>
        <v>-0.29203872704085654</v>
      </c>
      <c r="J263" s="21">
        <f t="shared" si="432"/>
        <v>-0.47715674362089922</v>
      </c>
      <c r="K263" s="21">
        <f t="shared" si="432"/>
        <v>-0.56031622785346225</v>
      </c>
      <c r="L263" s="14">
        <f>L262/SUM(C262:F262)-1</f>
        <v>-0.25543345083033309</v>
      </c>
      <c r="M263" s="21">
        <f t="shared" ref="M263:P263" si="433">M262/H262-1</f>
        <v>-0.36895967990150813</v>
      </c>
      <c r="N263" s="21">
        <f t="shared" si="433"/>
        <v>-0.67452223840946091</v>
      </c>
      <c r="O263" s="21">
        <f t="shared" si="433"/>
        <v>-0.33081570996978849</v>
      </c>
      <c r="P263" s="21">
        <f t="shared" si="433"/>
        <v>-5.9720661422379195E-2</v>
      </c>
      <c r="Q263" s="14">
        <f>Q262/SUM(H262:K262)-1</f>
        <v>-0.40215189873417712</v>
      </c>
      <c r="R263" s="21">
        <f t="shared" ref="R263:U263" si="434">R262/M262-1</f>
        <v>-0.51542494817705165</v>
      </c>
      <c r="S263" s="21">
        <f t="shared" si="434"/>
        <v>-0.2611901000526593</v>
      </c>
      <c r="T263" s="21">
        <f t="shared" si="434"/>
        <v>-0.14915783990276088</v>
      </c>
      <c r="U263" s="21">
        <f t="shared" si="434"/>
        <v>0.34027659211200256</v>
      </c>
      <c r="V263" s="14">
        <f>V262/SUM(M262:P262)-1</f>
        <v>-0.17298327334321406</v>
      </c>
      <c r="W263" s="21">
        <f t="shared" ref="W263:Z263" si="435">W262/R262-1</f>
        <v>1.2244589833920481</v>
      </c>
      <c r="X263" s="21">
        <f t="shared" si="435"/>
        <v>1.6065573770491803</v>
      </c>
      <c r="Y263" s="21">
        <f t="shared" si="435"/>
        <v>1.4051304877551019</v>
      </c>
      <c r="Z263" s="21">
        <f t="shared" si="435"/>
        <v>0.49210191082802535</v>
      </c>
      <c r="AA263" s="14">
        <f>AA262/SUM(R262:U262)-1</f>
        <v>1.0303194772145416</v>
      </c>
      <c r="AB263" s="21">
        <f t="shared" ref="AB263:AE263" si="436">AB262/W262-1</f>
        <v>0.42816742081447967</v>
      </c>
      <c r="AC263" s="21">
        <f t="shared" si="436"/>
        <v>0.7640861197703035</v>
      </c>
      <c r="AD263" s="21">
        <f t="shared" si="436"/>
        <v>0.15813422466443994</v>
      </c>
      <c r="AE263" s="21">
        <f t="shared" si="436"/>
        <v>0.36199095022624439</v>
      </c>
      <c r="AF263" s="14">
        <f>AF262/SUM(W262:Z262)-1</f>
        <v>0.3903234478163673</v>
      </c>
      <c r="AG263" s="21">
        <f t="shared" ref="AG263:AJ263" si="437">AG262/AB262-1</f>
        <v>0.50114851485148537</v>
      </c>
      <c r="AH263" s="21">
        <f t="shared" si="437"/>
        <v>5.1907037299292025E-2</v>
      </c>
      <c r="AI263" s="21">
        <f t="shared" si="437"/>
        <v>0.11533670144966868</v>
      </c>
      <c r="AJ263" s="21">
        <f t="shared" si="437"/>
        <v>0.30870799871331389</v>
      </c>
      <c r="AK263" s="108">
        <f>AK262/SUM(AB262:AE262)-1</f>
        <v>0.24480186201275056</v>
      </c>
      <c r="AL263" s="14">
        <f>AL262/AK262-1</f>
        <v>0.26976872661043427</v>
      </c>
      <c r="AM263" s="14">
        <f>AM262/AL262-1</f>
        <v>0.24994698474234456</v>
      </c>
      <c r="AN263" s="14">
        <f t="shared" ref="AN263:AT263" si="438">AN262/AM262-1</f>
        <v>0.23060467870485191</v>
      </c>
      <c r="AO263" s="14">
        <f t="shared" si="438"/>
        <v>0.21453785396135228</v>
      </c>
      <c r="AP263" s="14">
        <f t="shared" si="438"/>
        <v>0.2009772359095745</v>
      </c>
      <c r="AQ263" s="14">
        <f t="shared" si="438"/>
        <v>0.18937745719632737</v>
      </c>
      <c r="AR263" s="14">
        <f t="shared" si="438"/>
        <v>0.17934098425165157</v>
      </c>
      <c r="AS263" s="14">
        <f t="shared" si="438"/>
        <v>0.17057112739102909</v>
      </c>
      <c r="AT263" s="14">
        <f t="shared" si="438"/>
        <v>0.16284192537993891</v>
      </c>
      <c r="AU263" s="8" t="s">
        <v>29</v>
      </c>
    </row>
    <row r="264" spans="1:47" s="75" customFormat="1" ht="7.95" customHeight="1" x14ac:dyDescent="0.3">
      <c r="G264" s="76"/>
      <c r="L264" s="76"/>
      <c r="Q264" s="76"/>
      <c r="V264" s="76"/>
      <c r="AA264" s="76"/>
      <c r="AF264" s="76"/>
      <c r="AK264" s="76"/>
      <c r="AL264" s="76"/>
      <c r="AM264" s="76"/>
      <c r="AN264" s="76"/>
      <c r="AO264" s="76"/>
      <c r="AP264" s="76"/>
      <c r="AQ264" s="76"/>
      <c r="AR264" s="76"/>
      <c r="AS264" s="76"/>
      <c r="AT264" s="76"/>
      <c r="AU264" s="77" t="s">
        <v>29</v>
      </c>
    </row>
    <row r="265" spans="1:47" ht="16.2" customHeight="1" x14ac:dyDescent="0.3">
      <c r="A265" s="2" t="s">
        <v>30</v>
      </c>
      <c r="B265" s="58" t="s">
        <v>162</v>
      </c>
      <c r="C265" s="59"/>
      <c r="D265" s="59"/>
      <c r="E265" s="59"/>
      <c r="F265" s="59"/>
      <c r="G265" s="60"/>
      <c r="H265" s="59"/>
      <c r="I265" s="59"/>
      <c r="J265" s="59"/>
      <c r="K265" s="59"/>
      <c r="L265" s="60"/>
      <c r="M265" s="59"/>
      <c r="N265" s="59"/>
      <c r="O265" s="59"/>
      <c r="P265" s="59"/>
      <c r="Q265" s="60"/>
      <c r="R265" s="59"/>
      <c r="S265" s="59"/>
      <c r="T265" s="59"/>
      <c r="U265" s="59"/>
      <c r="V265" s="60"/>
      <c r="W265" s="59"/>
      <c r="X265" s="59"/>
      <c r="Y265" s="59"/>
      <c r="Z265" s="59"/>
      <c r="AA265" s="60"/>
      <c r="AB265" s="59"/>
      <c r="AC265" s="59"/>
      <c r="AD265" s="59"/>
      <c r="AE265" s="59"/>
      <c r="AF265" s="60"/>
      <c r="AG265" s="59"/>
      <c r="AH265" s="59"/>
      <c r="AI265" s="59"/>
      <c r="AJ265" s="59"/>
      <c r="AK265" s="60"/>
      <c r="AL265" s="60"/>
      <c r="AM265" s="60"/>
      <c r="AN265" s="60"/>
      <c r="AO265" s="60"/>
      <c r="AP265" s="60"/>
      <c r="AQ265" s="60"/>
      <c r="AR265" s="60"/>
      <c r="AS265" s="60"/>
      <c r="AT265" s="60"/>
      <c r="AU265" s="8" t="s">
        <v>29</v>
      </c>
    </row>
    <row r="266" spans="1:47" s="75" customFormat="1" ht="7.95" customHeight="1" x14ac:dyDescent="0.3">
      <c r="G266" s="76"/>
      <c r="L266" s="76"/>
      <c r="Q266" s="76"/>
      <c r="V266" s="76"/>
      <c r="AA266" s="76"/>
      <c r="AF266" s="76"/>
      <c r="AK266" s="76"/>
      <c r="AL266" s="76"/>
      <c r="AM266" s="76"/>
      <c r="AN266" s="76"/>
      <c r="AO266" s="76"/>
      <c r="AP266" s="76"/>
      <c r="AQ266" s="76"/>
      <c r="AR266" s="76"/>
      <c r="AS266" s="76"/>
      <c r="AT266" s="76"/>
      <c r="AU266" s="77" t="s">
        <v>29</v>
      </c>
    </row>
    <row r="267" spans="1:47" ht="16.2" customHeight="1" x14ac:dyDescent="0.3">
      <c r="B267" s="25" t="s">
        <v>163</v>
      </c>
      <c r="C267" s="28">
        <f>C174</f>
        <v>17.841999999999999</v>
      </c>
      <c r="D267" s="28">
        <f>D174</f>
        <v>5.9969999999999999</v>
      </c>
      <c r="E267" s="28">
        <f>E174</f>
        <v>21.437999999999999</v>
      </c>
      <c r="F267" s="28">
        <f>F174</f>
        <v>44.847000000000001</v>
      </c>
      <c r="G267" s="29">
        <f>SUM(C267:F267)</f>
        <v>90.123999999999995</v>
      </c>
      <c r="H267" s="28">
        <f>H174</f>
        <v>18.109000000000002</v>
      </c>
      <c r="I267" s="28">
        <f>I174</f>
        <v>33.762999999999998</v>
      </c>
      <c r="J267" s="28">
        <f>J174</f>
        <v>52.893000000000001</v>
      </c>
      <c r="K267" s="28">
        <f>K174</f>
        <v>53.655999999999999</v>
      </c>
      <c r="L267" s="29">
        <f>SUM(H267:K267)</f>
        <v>158.42099999999999</v>
      </c>
      <c r="M267" s="28">
        <f>M174</f>
        <v>31.997</v>
      </c>
      <c r="N267" s="28">
        <f>N174</f>
        <v>53.874000000000002</v>
      </c>
      <c r="O267" s="28">
        <f>O174</f>
        <v>47.136000000000003</v>
      </c>
      <c r="P267" s="28">
        <f>P174</f>
        <v>64.245999999999995</v>
      </c>
      <c r="Q267" s="29">
        <f>SUM(M267:P267)</f>
        <v>197.25299999999999</v>
      </c>
      <c r="R267" s="28">
        <f>R174</f>
        <v>48.720999999999997</v>
      </c>
      <c r="S267" s="28">
        <f>S174</f>
        <v>57.722000000000001</v>
      </c>
      <c r="T267" s="28">
        <f>T174</f>
        <v>55.399000000000001</v>
      </c>
      <c r="U267" s="28">
        <f>U174</f>
        <v>75.695999999999998</v>
      </c>
      <c r="V267" s="29">
        <f>SUM(R267:U267)</f>
        <v>237.53799999999998</v>
      </c>
      <c r="W267" s="28">
        <f>W174</f>
        <v>52.947000000000003</v>
      </c>
      <c r="X267" s="28">
        <f>X174</f>
        <v>68.658000000000001</v>
      </c>
      <c r="Y267" s="28">
        <f>Y174</f>
        <v>70.471000000000004</v>
      </c>
      <c r="Z267" s="28">
        <f>Z174</f>
        <v>100.639</v>
      </c>
      <c r="AA267" s="29">
        <f>SUM(W267:Z267)</f>
        <v>292.71500000000003</v>
      </c>
      <c r="AB267" s="28">
        <f>AB174</f>
        <v>64.950999999999993</v>
      </c>
      <c r="AC267" s="28">
        <f>AC174</f>
        <v>88.456999999999994</v>
      </c>
      <c r="AD267" s="28">
        <f>AD174</f>
        <v>114.928</v>
      </c>
      <c r="AE267" s="28">
        <f>AE174</f>
        <v>110.214</v>
      </c>
      <c r="AF267" s="29">
        <f>SUM(AB267:AE267)</f>
        <v>378.55</v>
      </c>
      <c r="AG267" s="28">
        <f>AG174</f>
        <v>84.555999999999997</v>
      </c>
      <c r="AH267" s="28">
        <f>AH270*AH272</f>
        <v>92.309459365584857</v>
      </c>
      <c r="AI267" s="28">
        <f t="shared" ref="AI267:AJ267" si="439">AI270*AI272</f>
        <v>100.23982959197382</v>
      </c>
      <c r="AJ267" s="28">
        <f t="shared" si="439"/>
        <v>129.0144983934446</v>
      </c>
      <c r="AK267" s="29">
        <f>SUM(AG267:AJ267)</f>
        <v>406.11978735100331</v>
      </c>
      <c r="AL267" s="29">
        <f>AL270*AL272</f>
        <v>460.83973951043788</v>
      </c>
      <c r="AM267" s="29">
        <f>AM270*AM272</f>
        <v>519.62374968784025</v>
      </c>
      <c r="AN267" s="29">
        <f t="shared" ref="AN267:AT267" si="440">AN270*AN272</f>
        <v>582.37313709621844</v>
      </c>
      <c r="AO267" s="29">
        <f t="shared" si="440"/>
        <v>649.31107749776618</v>
      </c>
      <c r="AP267" s="29">
        <f t="shared" si="440"/>
        <v>720.67225611208369</v>
      </c>
      <c r="AQ267" s="29">
        <f t="shared" si="440"/>
        <v>796.70343129155026</v>
      </c>
      <c r="AR267" s="29">
        <f t="shared" si="440"/>
        <v>877.66402487559503</v>
      </c>
      <c r="AS267" s="29">
        <f t="shared" si="440"/>
        <v>963.82674045629665</v>
      </c>
      <c r="AT267" s="29">
        <f t="shared" si="440"/>
        <v>1055.4782108436536</v>
      </c>
      <c r="AU267" s="8" t="s">
        <v>29</v>
      </c>
    </row>
    <row r="268" spans="1:47" ht="16.2" customHeight="1" x14ac:dyDescent="0.3">
      <c r="B268" s="20" t="s">
        <v>35</v>
      </c>
      <c r="G268" s="7"/>
      <c r="H268" s="21">
        <f t="shared" ref="H268:K268" si="441">H267/C267-1</f>
        <v>1.4964690057168717E-2</v>
      </c>
      <c r="I268" s="21">
        <f t="shared" si="441"/>
        <v>4.6299816574954145</v>
      </c>
      <c r="J268" s="21">
        <f t="shared" si="441"/>
        <v>1.4672544080604535</v>
      </c>
      <c r="K268" s="21">
        <f t="shared" si="441"/>
        <v>0.19642339509889162</v>
      </c>
      <c r="L268" s="14">
        <f>L267/SUM(C267:F267)-1</f>
        <v>0.75781145976654396</v>
      </c>
      <c r="M268" s="21">
        <f t="shared" ref="M268:P268" si="442">M267/H267-1</f>
        <v>0.76691148047931956</v>
      </c>
      <c r="N268" s="21">
        <f t="shared" si="442"/>
        <v>0.59565204513816905</v>
      </c>
      <c r="O268" s="21">
        <f t="shared" si="442"/>
        <v>-0.10884237989904144</v>
      </c>
      <c r="P268" s="21">
        <f t="shared" si="442"/>
        <v>0.19736842105263142</v>
      </c>
      <c r="Q268" s="14">
        <f>Q267/SUM(H267:K267)-1</f>
        <v>0.24511901831196625</v>
      </c>
      <c r="R268" s="21">
        <f t="shared" ref="R268:U268" si="443">R267/M267-1</f>
        <v>0.52267400068756431</v>
      </c>
      <c r="S268" s="21">
        <f t="shared" si="443"/>
        <v>7.1425919738649313E-2</v>
      </c>
      <c r="T268" s="21">
        <f t="shared" si="443"/>
        <v>0.17530125594025803</v>
      </c>
      <c r="U268" s="21">
        <f t="shared" si="443"/>
        <v>0.17822121221554665</v>
      </c>
      <c r="V268" s="14">
        <f>V267/SUM(M267:P267)-1</f>
        <v>0.20423010042939782</v>
      </c>
      <c r="W268" s="21">
        <f t="shared" ref="W268:Z268" si="444">W267/R267-1</f>
        <v>8.6738777939697531E-2</v>
      </c>
      <c r="X268" s="21">
        <f t="shared" si="444"/>
        <v>0.1894598246768997</v>
      </c>
      <c r="Y268" s="21">
        <f t="shared" si="444"/>
        <v>0.27206267261141903</v>
      </c>
      <c r="Z268" s="21">
        <f t="shared" si="444"/>
        <v>0.32951543014161899</v>
      </c>
      <c r="AA268" s="14">
        <f>AA267/SUM(R267:U267)-1</f>
        <v>0.23228704459918004</v>
      </c>
      <c r="AB268" s="21">
        <f t="shared" ref="AB268:AE268" si="445">AB267/W267-1</f>
        <v>0.22671728332105667</v>
      </c>
      <c r="AC268" s="21">
        <f t="shared" si="445"/>
        <v>0.2883713478400185</v>
      </c>
      <c r="AD268" s="21">
        <f t="shared" si="445"/>
        <v>0.63085524542010174</v>
      </c>
      <c r="AE268" s="21">
        <f t="shared" si="445"/>
        <v>9.514204234938739E-2</v>
      </c>
      <c r="AF268" s="14">
        <f>AF267/SUM(W267:Z267)-1</f>
        <v>0.29323744939617025</v>
      </c>
      <c r="AG268" s="21">
        <f t="shared" ref="AG268:AJ268" si="446">AG267/AB267-1</f>
        <v>0.30184292774553123</v>
      </c>
      <c r="AH268" s="21">
        <f t="shared" si="446"/>
        <v>4.3551775049853081E-2</v>
      </c>
      <c r="AI268" s="21">
        <f t="shared" si="446"/>
        <v>-0.12780323687896933</v>
      </c>
      <c r="AJ268" s="21">
        <f t="shared" si="446"/>
        <v>0.17058176269298464</v>
      </c>
      <c r="AK268" s="108">
        <f>AK267/SUM(AB267:AE267)-1</f>
        <v>7.2829975831470772E-2</v>
      </c>
      <c r="AL268" s="14">
        <f>AL267/AK267-1</f>
        <v>0.13473845368716519</v>
      </c>
      <c r="AM268" s="14">
        <f>AM267/AL267-1</f>
        <v>0.12755846585593966</v>
      </c>
      <c r="AN268" s="14">
        <f t="shared" ref="AN268:AT268" si="447">AN267/AM267-1</f>
        <v>0.12075927523727392</v>
      </c>
      <c r="AO268" s="14">
        <f t="shared" si="447"/>
        <v>0.11493995196156925</v>
      </c>
      <c r="AP268" s="14">
        <f t="shared" si="447"/>
        <v>0.10990291262135909</v>
      </c>
      <c r="AQ268" s="14">
        <f t="shared" si="447"/>
        <v>0.10550034989503154</v>
      </c>
      <c r="AR268" s="14">
        <f t="shared" si="447"/>
        <v>0.10161948650427943</v>
      </c>
      <c r="AS268" s="14">
        <f t="shared" si="447"/>
        <v>9.8172778123057691E-2</v>
      </c>
      <c r="AT268" s="14">
        <f t="shared" si="447"/>
        <v>9.5091230135373905E-2</v>
      </c>
      <c r="AU268" s="8" t="s">
        <v>29</v>
      </c>
    </row>
    <row r="269" spans="1:47" ht="16.2" customHeight="1" x14ac:dyDescent="0.3">
      <c r="B269" s="20" t="s">
        <v>37</v>
      </c>
      <c r="C269" s="21">
        <f>C267/C$167</f>
        <v>0.22471315759644325</v>
      </c>
      <c r="D269" s="21">
        <f t="shared" ref="D269:AJ269" si="448">D267/D$167</f>
        <v>0.18572888599832763</v>
      </c>
      <c r="E269" s="21">
        <f t="shared" si="448"/>
        <v>0.23430532482294308</v>
      </c>
      <c r="F269" s="21">
        <f t="shared" si="448"/>
        <v>0.27058809332746064</v>
      </c>
      <c r="G269" s="14">
        <f>G267/G167</f>
        <v>0.24428945877595051</v>
      </c>
      <c r="H269" s="21">
        <f t="shared" si="448"/>
        <v>0.20074493675797317</v>
      </c>
      <c r="I269" s="21">
        <f t="shared" si="448"/>
        <v>0.26079265890640563</v>
      </c>
      <c r="J269" s="21">
        <f t="shared" si="448"/>
        <v>0.31254542553757253</v>
      </c>
      <c r="K269" s="21">
        <f t="shared" si="448"/>
        <v>0.25752943378657928</v>
      </c>
      <c r="L269" s="14">
        <f>L267/L167</f>
        <v>0.2652489560555476</v>
      </c>
      <c r="M269" s="21">
        <f t="shared" si="448"/>
        <v>0.20733248232648857</v>
      </c>
      <c r="N269" s="21">
        <f t="shared" si="448"/>
        <v>0.30341463964090809</v>
      </c>
      <c r="O269" s="21">
        <f t="shared" si="448"/>
        <v>0.25299226037764205</v>
      </c>
      <c r="P269" s="21">
        <f t="shared" si="448"/>
        <v>0.24911302486632361</v>
      </c>
      <c r="Q269" s="14">
        <f>Q267/Q167</f>
        <v>0.25415958531063687</v>
      </c>
      <c r="R269" s="21">
        <f t="shared" si="448"/>
        <v>0.24870595922367766</v>
      </c>
      <c r="S269" s="21">
        <f t="shared" si="448"/>
        <v>0.27628757419107797</v>
      </c>
      <c r="T269" s="21">
        <f t="shared" si="448"/>
        <v>0.24983088759210992</v>
      </c>
      <c r="U269" s="21">
        <f t="shared" si="448"/>
        <v>0.24972205818798429</v>
      </c>
      <c r="V269" s="14">
        <f>V267/V167</f>
        <v>0.25550374589242592</v>
      </c>
      <c r="W269" s="21">
        <f t="shared" si="448"/>
        <v>0.23697779130450353</v>
      </c>
      <c r="X269" s="21">
        <f t="shared" si="448"/>
        <v>0.26591426668112594</v>
      </c>
      <c r="Y269" s="21">
        <f t="shared" si="448"/>
        <v>0.26151122920037401</v>
      </c>
      <c r="Z269" s="21">
        <f t="shared" si="448"/>
        <v>0.27334778310137653</v>
      </c>
      <c r="AA269" s="14">
        <f>AA267/AA167</f>
        <v>0.26152313561517776</v>
      </c>
      <c r="AB269" s="21">
        <f t="shared" si="448"/>
        <v>0.22536154444012654</v>
      </c>
      <c r="AC269" s="21">
        <f t="shared" si="448"/>
        <v>0.27240168755581562</v>
      </c>
      <c r="AD269" s="21">
        <f t="shared" si="448"/>
        <v>0.31917617620675581</v>
      </c>
      <c r="AE269" s="21">
        <f t="shared" si="448"/>
        <v>0.25214882669601169</v>
      </c>
      <c r="AF269" s="14">
        <f>AF267/AF167</f>
        <v>0.26845347255611962</v>
      </c>
      <c r="AG269" s="21">
        <f t="shared" si="448"/>
        <v>0.24512964423210723</v>
      </c>
      <c r="AH269" s="21">
        <f t="shared" si="448"/>
        <v>0.25796285547326236</v>
      </c>
      <c r="AI269" s="21">
        <f t="shared" si="448"/>
        <v>0.26530786706585247</v>
      </c>
      <c r="AJ269" s="21">
        <f t="shared" si="448"/>
        <v>0.25565266673335624</v>
      </c>
      <c r="AK269" s="108">
        <f t="shared" ref="AK269:AT269" si="449">AK267/AK167</f>
        <v>0.25618557528245417</v>
      </c>
      <c r="AL269" s="14">
        <f t="shared" si="449"/>
        <v>0.25476423265467618</v>
      </c>
      <c r="AM269" s="14">
        <f t="shared" si="449"/>
        <v>0.25256665911616683</v>
      </c>
      <c r="AN269" s="14">
        <f t="shared" si="449"/>
        <v>0.25048339588732904</v>
      </c>
      <c r="AO269" s="14">
        <f t="shared" si="449"/>
        <v>0.24849412880789415</v>
      </c>
      <c r="AP269" s="14">
        <f t="shared" si="449"/>
        <v>0.24658369722717205</v>
      </c>
      <c r="AQ269" s="14">
        <f t="shared" si="449"/>
        <v>0.24474053659574069</v>
      </c>
      <c r="AR269" s="14">
        <f t="shared" si="449"/>
        <v>0.24295565423193277</v>
      </c>
      <c r="AS269" s="14">
        <f t="shared" si="449"/>
        <v>0.24122193678112389</v>
      </c>
      <c r="AT269" s="14">
        <f t="shared" si="449"/>
        <v>0.2395336704450286</v>
      </c>
      <c r="AU269" s="8" t="s">
        <v>29</v>
      </c>
    </row>
    <row r="270" spans="1:47" ht="16.2" customHeight="1" x14ac:dyDescent="0.3">
      <c r="B270" s="20" t="s">
        <v>164</v>
      </c>
      <c r="C270" s="21">
        <f>C267/C272</f>
        <v>0.31825478934037316</v>
      </c>
      <c r="D270" s="21">
        <f t="shared" ref="D270:AG270" si="450">D267/D272</f>
        <v>0.32400453833270298</v>
      </c>
      <c r="E270" s="21">
        <f t="shared" si="450"/>
        <v>0.32812930480301217</v>
      </c>
      <c r="F270" s="21">
        <f t="shared" si="450"/>
        <v>0.36347795077117595</v>
      </c>
      <c r="G270" s="14">
        <f>G267/G272</f>
        <v>0.34230196590805501</v>
      </c>
      <c r="H270" s="21">
        <f t="shared" si="450"/>
        <v>0.25266139271413224</v>
      </c>
      <c r="I270" s="21">
        <f t="shared" si="450"/>
        <v>0.31382919393218317</v>
      </c>
      <c r="J270" s="21">
        <f t="shared" si="450"/>
        <v>0.39528731251261129</v>
      </c>
      <c r="K270" s="21">
        <f t="shared" si="450"/>
        <v>0.32447403590887924</v>
      </c>
      <c r="L270" s="14">
        <f>L267/L272</f>
        <v>0.33112750272245201</v>
      </c>
      <c r="M270" s="21">
        <f t="shared" si="450"/>
        <v>0.25128797160179689</v>
      </c>
      <c r="N270" s="21">
        <f t="shared" si="450"/>
        <v>0.38040968500434258</v>
      </c>
      <c r="O270" s="21">
        <f t="shared" si="450"/>
        <v>0.30539771806949462</v>
      </c>
      <c r="P270" s="21">
        <f t="shared" si="450"/>
        <v>0.33449263289425729</v>
      </c>
      <c r="Q270" s="14">
        <f>Q267/Q272</f>
        <v>0.32054582151110067</v>
      </c>
      <c r="R270" s="21">
        <f t="shared" si="450"/>
        <v>0.31884427865580312</v>
      </c>
      <c r="S270" s="21">
        <f t="shared" si="450"/>
        <v>0.34065733019363442</v>
      </c>
      <c r="T270" s="21">
        <f t="shared" si="450"/>
        <v>0.29530383795309167</v>
      </c>
      <c r="U270" s="21">
        <f t="shared" si="450"/>
        <v>0.3158619480990949</v>
      </c>
      <c r="V270" s="14">
        <f>V267/V272</f>
        <v>0.31692988764464697</v>
      </c>
      <c r="W270" s="21">
        <f t="shared" si="450"/>
        <v>0.2993419192890015</v>
      </c>
      <c r="X270" s="21">
        <f t="shared" si="450"/>
        <v>0.33656707272237063</v>
      </c>
      <c r="Y270" s="21">
        <f t="shared" si="450"/>
        <v>0.32269005718019822</v>
      </c>
      <c r="Z270" s="21">
        <f t="shared" si="450"/>
        <v>0.34843800310910605</v>
      </c>
      <c r="AA270" s="14">
        <f>AA267/AA272</f>
        <v>0.32960133526283192</v>
      </c>
      <c r="AB270" s="21">
        <f t="shared" si="450"/>
        <v>0.27119415448851769</v>
      </c>
      <c r="AC270" s="21">
        <f t="shared" si="450"/>
        <v>0.33317208404341381</v>
      </c>
      <c r="AD270" s="21">
        <f t="shared" si="450"/>
        <v>0.39972428011634636</v>
      </c>
      <c r="AE270" s="21">
        <f t="shared" si="450"/>
        <v>0.29422333038791432</v>
      </c>
      <c r="AF270" s="14">
        <f>AF267/AF272</f>
        <v>0.32434800368752137</v>
      </c>
      <c r="AG270" s="21">
        <f t="shared" si="450"/>
        <v>0.30184341667499603</v>
      </c>
      <c r="AH270" s="78">
        <f>AG270</f>
        <v>0.30184341667499603</v>
      </c>
      <c r="AI270" s="78">
        <f t="shared" ref="AI270:AJ270" si="451">AH270</f>
        <v>0.30184341667499603</v>
      </c>
      <c r="AJ270" s="78">
        <f t="shared" si="451"/>
        <v>0.30184341667499603</v>
      </c>
      <c r="AK270" s="85">
        <f>AK267/AK272</f>
        <v>0.30184341667499603</v>
      </c>
      <c r="AL270" s="79">
        <f>AK270</f>
        <v>0.30184341667499603</v>
      </c>
      <c r="AM270" s="79">
        <f>AL270</f>
        <v>0.30184341667499603</v>
      </c>
      <c r="AN270" s="79">
        <f t="shared" ref="AN270:AT270" si="452">AM270</f>
        <v>0.30184341667499603</v>
      </c>
      <c r="AO270" s="79">
        <f t="shared" si="452"/>
        <v>0.30184341667499603</v>
      </c>
      <c r="AP270" s="79">
        <f t="shared" si="452"/>
        <v>0.30184341667499603</v>
      </c>
      <c r="AQ270" s="79">
        <f t="shared" si="452"/>
        <v>0.30184341667499603</v>
      </c>
      <c r="AR270" s="79">
        <f t="shared" si="452"/>
        <v>0.30184341667499603</v>
      </c>
      <c r="AS270" s="79">
        <f t="shared" si="452"/>
        <v>0.30184341667499603</v>
      </c>
      <c r="AT270" s="79">
        <f t="shared" si="452"/>
        <v>0.30184341667499603</v>
      </c>
      <c r="AU270" s="8" t="s">
        <v>29</v>
      </c>
    </row>
    <row r="271" spans="1:47" ht="7.95" customHeight="1" x14ac:dyDescent="0.3">
      <c r="G271" s="7"/>
      <c r="L271" s="7"/>
      <c r="Q271" s="7"/>
      <c r="V271" s="7"/>
      <c r="AA271" s="7"/>
      <c r="AF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8" t="s">
        <v>29</v>
      </c>
    </row>
    <row r="272" spans="1:47" ht="16.2" customHeight="1" x14ac:dyDescent="0.3">
      <c r="B272" s="6" t="s">
        <v>165</v>
      </c>
      <c r="C272" s="22">
        <f>C$225</f>
        <v>56.061999999999998</v>
      </c>
      <c r="D272" s="22">
        <f t="shared" ref="D272:AJ272" si="453">D$225</f>
        <v>18.509</v>
      </c>
      <c r="E272" s="22">
        <f t="shared" si="453"/>
        <v>65.334000000000003</v>
      </c>
      <c r="F272" s="22">
        <f t="shared" si="453"/>
        <v>123.383</v>
      </c>
      <c r="G272" s="23">
        <f>SUM(C272:F272)</f>
        <v>263.28800000000001</v>
      </c>
      <c r="H272" s="22">
        <f t="shared" si="453"/>
        <v>71.673000000000002</v>
      </c>
      <c r="I272" s="22">
        <f t="shared" si="453"/>
        <v>107.584</v>
      </c>
      <c r="J272" s="22">
        <f t="shared" si="453"/>
        <v>133.809</v>
      </c>
      <c r="K272" s="22">
        <f t="shared" si="453"/>
        <v>165.363</v>
      </c>
      <c r="L272" s="23">
        <f>SUM(H272:K272)</f>
        <v>478.42900000000003</v>
      </c>
      <c r="M272" s="22">
        <f t="shared" si="453"/>
        <v>127.33199999999999</v>
      </c>
      <c r="N272" s="22">
        <f t="shared" si="453"/>
        <v>141.62100000000001</v>
      </c>
      <c r="O272" s="22">
        <f t="shared" si="453"/>
        <v>154.34299999999999</v>
      </c>
      <c r="P272" s="22">
        <f t="shared" si="453"/>
        <v>192.07</v>
      </c>
      <c r="Q272" s="23">
        <f>SUM(M272:P272)</f>
        <v>615.36599999999999</v>
      </c>
      <c r="R272" s="22">
        <f t="shared" si="453"/>
        <v>152.80500000000001</v>
      </c>
      <c r="S272" s="22">
        <f t="shared" si="453"/>
        <v>169.44300000000001</v>
      </c>
      <c r="T272" s="22">
        <f t="shared" si="453"/>
        <v>187.6</v>
      </c>
      <c r="U272" s="22">
        <f t="shared" si="453"/>
        <v>239.649</v>
      </c>
      <c r="V272" s="23">
        <f>SUM(R272:U272)</f>
        <v>749.49700000000007</v>
      </c>
      <c r="W272" s="22">
        <f t="shared" si="453"/>
        <v>176.87799999999999</v>
      </c>
      <c r="X272" s="22">
        <f t="shared" si="453"/>
        <v>203.995</v>
      </c>
      <c r="Y272" s="22">
        <f t="shared" si="453"/>
        <v>218.38602842555892</v>
      </c>
      <c r="Z272" s="22">
        <f t="shared" si="453"/>
        <v>288.82900000000001</v>
      </c>
      <c r="AA272" s="23">
        <f>SUM(W272:Z272)</f>
        <v>888.08802842555883</v>
      </c>
      <c r="AB272" s="22">
        <f t="shared" si="453"/>
        <v>239.5</v>
      </c>
      <c r="AC272" s="22">
        <f t="shared" si="453"/>
        <v>265.49943478599982</v>
      </c>
      <c r="AD272" s="22">
        <f t="shared" si="453"/>
        <v>287.51818620211986</v>
      </c>
      <c r="AE272" s="22">
        <f t="shared" si="453"/>
        <v>374.59300000000002</v>
      </c>
      <c r="AF272" s="23">
        <f>SUM(AB272:AE272)</f>
        <v>1167.1106209881198</v>
      </c>
      <c r="AG272" s="22">
        <f t="shared" si="453"/>
        <v>280.13200000000001</v>
      </c>
      <c r="AH272" s="22">
        <f t="shared" si="453"/>
        <v>305.81902491839753</v>
      </c>
      <c r="AI272" s="22">
        <f t="shared" si="453"/>
        <v>332.09215127559031</v>
      </c>
      <c r="AJ272" s="22">
        <f t="shared" si="453"/>
        <v>427.42193888017908</v>
      </c>
      <c r="AK272" s="23">
        <f>SUM(AG272:AJ272)</f>
        <v>1345.465115074167</v>
      </c>
      <c r="AL272" s="23">
        <f t="shared" ref="AL272:AT272" si="454">AL225</f>
        <v>1526.7510041692842</v>
      </c>
      <c r="AM272" s="23">
        <f t="shared" si="454"/>
        <v>1721.5010200051338</v>
      </c>
      <c r="AN272" s="23">
        <f t="shared" si="454"/>
        <v>1929.3882355011813</v>
      </c>
      <c r="AO272" s="23">
        <f t="shared" si="454"/>
        <v>2151.1520266049038</v>
      </c>
      <c r="AP272" s="23">
        <f t="shared" si="454"/>
        <v>2387.5698998201224</v>
      </c>
      <c r="AQ272" s="23">
        <f t="shared" si="454"/>
        <v>2639.4593596499903</v>
      </c>
      <c r="AR272" s="23">
        <f t="shared" si="454"/>
        <v>2907.6798644265364</v>
      </c>
      <c r="AS272" s="23">
        <f t="shared" si="454"/>
        <v>3193.1348746097656</v>
      </c>
      <c r="AT272" s="23">
        <f t="shared" si="454"/>
        <v>3496.7739978245709</v>
      </c>
      <c r="AU272" s="8" t="s">
        <v>29</v>
      </c>
    </row>
    <row r="273" spans="1:47" ht="16.2" customHeight="1" x14ac:dyDescent="0.3">
      <c r="B273" s="20" t="s">
        <v>56</v>
      </c>
      <c r="G273" s="7"/>
      <c r="H273" s="21">
        <f t="shared" ref="H273:K273" si="455">H272/C272-1</f>
        <v>0.27845956262709159</v>
      </c>
      <c r="I273" s="21">
        <f t="shared" si="455"/>
        <v>4.8125236371494946</v>
      </c>
      <c r="J273" s="21">
        <f t="shared" si="455"/>
        <v>1.0480760400404074</v>
      </c>
      <c r="K273" s="21">
        <f t="shared" si="455"/>
        <v>0.34024136226222423</v>
      </c>
      <c r="L273" s="14">
        <f>L272/SUM(C272:F272)-1</f>
        <v>0.81713181003311974</v>
      </c>
      <c r="M273" s="21">
        <f t="shared" ref="M273:P273" si="456">M272/H272-1</f>
        <v>0.77656858231133041</v>
      </c>
      <c r="N273" s="21">
        <f t="shared" si="456"/>
        <v>0.31637604104699579</v>
      </c>
      <c r="O273" s="21">
        <f t="shared" si="456"/>
        <v>0.15345754022524627</v>
      </c>
      <c r="P273" s="21">
        <f t="shared" si="456"/>
        <v>0.16150529441289763</v>
      </c>
      <c r="Q273" s="14">
        <f>Q272/SUM(H272:K272)-1</f>
        <v>0.28622219806909688</v>
      </c>
      <c r="R273" s="21">
        <f t="shared" ref="R273:U273" si="457">R272/M272-1</f>
        <v>0.20005183300348706</v>
      </c>
      <c r="S273" s="21">
        <f t="shared" si="457"/>
        <v>0.19645391573283622</v>
      </c>
      <c r="T273" s="21">
        <f t="shared" si="457"/>
        <v>0.21547462469953294</v>
      </c>
      <c r="U273" s="21">
        <f t="shared" si="457"/>
        <v>0.2477169781850368</v>
      </c>
      <c r="V273" s="14">
        <f>V272/SUM(M272:P272)-1</f>
        <v>0.21796946857642463</v>
      </c>
      <c r="W273" s="21">
        <f t="shared" ref="W273:Z273" si="458">W272/R272-1</f>
        <v>0.15754065639213355</v>
      </c>
      <c r="X273" s="21">
        <f t="shared" si="458"/>
        <v>0.20391518091629623</v>
      </c>
      <c r="Y273" s="21">
        <f t="shared" si="458"/>
        <v>0.1641046291341095</v>
      </c>
      <c r="Z273" s="21">
        <f t="shared" si="458"/>
        <v>0.20521679623115485</v>
      </c>
      <c r="AA273" s="14">
        <f>AA272/SUM(R272:U272)-1</f>
        <v>0.18491205225045437</v>
      </c>
      <c r="AB273" s="21">
        <f t="shared" ref="AB273:AE273" si="459">AB272/W272-1</f>
        <v>0.35404063817998854</v>
      </c>
      <c r="AC273" s="21">
        <f t="shared" si="459"/>
        <v>0.30149971708130008</v>
      </c>
      <c r="AD273" s="21">
        <f t="shared" si="459"/>
        <v>0.31655943502872019</v>
      </c>
      <c r="AE273" s="21">
        <f t="shared" si="459"/>
        <v>0.29693694192757647</v>
      </c>
      <c r="AF273" s="14">
        <f>AF272/SUM(W272:Z272)-1</f>
        <v>0.31418348590648648</v>
      </c>
      <c r="AG273" s="21">
        <f t="shared" ref="AG273:AJ273" si="460">AG272/AB272-1</f>
        <v>0.1696534446764093</v>
      </c>
      <c r="AH273" s="21">
        <f t="shared" si="460"/>
        <v>0.15186318631863172</v>
      </c>
      <c r="AI273" s="21">
        <f t="shared" si="460"/>
        <v>0.15503007187912554</v>
      </c>
      <c r="AJ273" s="21">
        <f t="shared" si="460"/>
        <v>0.14103023516237378</v>
      </c>
      <c r="AK273" s="108">
        <f>AK272/SUM(AB272:AE272)-1</f>
        <v>0.15281712879542275</v>
      </c>
      <c r="AL273" s="14">
        <f>AL272/AK272-1</f>
        <v>0.13473845368716542</v>
      </c>
      <c r="AM273" s="14">
        <f>AM272/AL272-1</f>
        <v>0.12755846585593988</v>
      </c>
      <c r="AN273" s="14">
        <f t="shared" ref="AN273:AT273" si="461">AN272/AM272-1</f>
        <v>0.1207592752372737</v>
      </c>
      <c r="AO273" s="14">
        <f t="shared" si="461"/>
        <v>0.11493995196156925</v>
      </c>
      <c r="AP273" s="14">
        <f t="shared" si="461"/>
        <v>0.10990291262135932</v>
      </c>
      <c r="AQ273" s="14">
        <f t="shared" si="461"/>
        <v>0.10550034989503132</v>
      </c>
      <c r="AR273" s="14">
        <f t="shared" si="461"/>
        <v>0.10161948650427943</v>
      </c>
      <c r="AS273" s="14">
        <f t="shared" si="461"/>
        <v>9.8172778123057913E-2</v>
      </c>
      <c r="AT273" s="14">
        <f t="shared" si="461"/>
        <v>9.5091230135373905E-2</v>
      </c>
      <c r="AU273" s="8" t="s">
        <v>29</v>
      </c>
    </row>
    <row r="274" spans="1:47" s="75" customFormat="1" ht="7.95" customHeight="1" x14ac:dyDescent="0.3">
      <c r="G274" s="76"/>
      <c r="L274" s="76"/>
      <c r="Q274" s="76"/>
      <c r="V274" s="76"/>
      <c r="AA274" s="76"/>
      <c r="AF274" s="76"/>
      <c r="AK274" s="76"/>
      <c r="AL274" s="76"/>
      <c r="AM274" s="76"/>
      <c r="AN274" s="76"/>
      <c r="AO274" s="76"/>
      <c r="AP274" s="76"/>
      <c r="AQ274" s="76"/>
      <c r="AR274" s="76"/>
      <c r="AS274" s="76"/>
      <c r="AT274" s="76"/>
      <c r="AU274" s="77" t="s">
        <v>29</v>
      </c>
    </row>
    <row r="275" spans="1:47" ht="16.2" customHeight="1" x14ac:dyDescent="0.3">
      <c r="A275" s="2" t="s">
        <v>30</v>
      </c>
      <c r="B275" s="58" t="s">
        <v>166</v>
      </c>
      <c r="C275" s="59"/>
      <c r="D275" s="59"/>
      <c r="E275" s="59"/>
      <c r="F275" s="59"/>
      <c r="G275" s="60"/>
      <c r="H275" s="59"/>
      <c r="I275" s="59"/>
      <c r="J275" s="59"/>
      <c r="K275" s="59"/>
      <c r="L275" s="60"/>
      <c r="M275" s="59"/>
      <c r="N275" s="59"/>
      <c r="O275" s="59"/>
      <c r="P275" s="59"/>
      <c r="Q275" s="60"/>
      <c r="R275" s="59"/>
      <c r="S275" s="59"/>
      <c r="T275" s="59"/>
      <c r="U275" s="59"/>
      <c r="V275" s="60"/>
      <c r="W275" s="59"/>
      <c r="X275" s="59"/>
      <c r="Y275" s="59"/>
      <c r="Z275" s="59"/>
      <c r="AA275" s="60"/>
      <c r="AB275" s="59"/>
      <c r="AC275" s="59"/>
      <c r="AD275" s="59"/>
      <c r="AE275" s="59"/>
      <c r="AF275" s="60"/>
      <c r="AG275" s="59"/>
      <c r="AH275" s="59"/>
      <c r="AI275" s="59"/>
      <c r="AJ275" s="59"/>
      <c r="AK275" s="60"/>
      <c r="AL275" s="60"/>
      <c r="AM275" s="60"/>
      <c r="AN275" s="60"/>
      <c r="AO275" s="60"/>
      <c r="AP275" s="60"/>
      <c r="AQ275" s="60"/>
      <c r="AR275" s="60"/>
      <c r="AS275" s="60"/>
      <c r="AT275" s="60"/>
      <c r="AU275" s="8" t="s">
        <v>29</v>
      </c>
    </row>
    <row r="276" spans="1:47" s="75" customFormat="1" ht="7.95" customHeight="1" x14ac:dyDescent="0.3">
      <c r="G276" s="76"/>
      <c r="L276" s="76"/>
      <c r="Q276" s="76"/>
      <c r="V276" s="76"/>
      <c r="AA276" s="76"/>
      <c r="AF276" s="76"/>
      <c r="AK276" s="76"/>
      <c r="AL276" s="76"/>
      <c r="AM276" s="76"/>
      <c r="AN276" s="76"/>
      <c r="AO276" s="76"/>
      <c r="AP276" s="76"/>
      <c r="AQ276" s="76"/>
      <c r="AR276" s="76"/>
      <c r="AS276" s="76"/>
      <c r="AT276" s="76"/>
      <c r="AU276" s="77" t="s">
        <v>29</v>
      </c>
    </row>
    <row r="277" spans="1:47" ht="16.2" customHeight="1" x14ac:dyDescent="0.3">
      <c r="B277" s="25" t="s">
        <v>167</v>
      </c>
      <c r="C277" s="28">
        <f>C182</f>
        <v>9.1389999999999993</v>
      </c>
      <c r="D277" s="28">
        <f>D182</f>
        <v>2.96</v>
      </c>
      <c r="E277" s="28">
        <f>E182</f>
        <v>10.429</v>
      </c>
      <c r="F277" s="28">
        <f>F182</f>
        <v>19.832000000000001</v>
      </c>
      <c r="G277" s="29">
        <f>SUM(C277:F277)</f>
        <v>42.36</v>
      </c>
      <c r="H277" s="28">
        <f>H182</f>
        <v>11.69</v>
      </c>
      <c r="I277" s="28">
        <f>I182</f>
        <v>17.847000000000001</v>
      </c>
      <c r="J277" s="28">
        <f>J182</f>
        <v>22.149000000000001</v>
      </c>
      <c r="K277" s="28">
        <f>K182</f>
        <v>27.829000000000001</v>
      </c>
      <c r="L277" s="29">
        <f>SUM(H277:K277)</f>
        <v>79.515000000000001</v>
      </c>
      <c r="M277" s="28">
        <f>M182</f>
        <v>21.146999999999998</v>
      </c>
      <c r="N277" s="28">
        <f>N182</f>
        <v>23.646999999999998</v>
      </c>
      <c r="O277" s="28">
        <f>O182</f>
        <v>27.129000000000001</v>
      </c>
      <c r="P277" s="28">
        <f>P182</f>
        <v>31.530999999999999</v>
      </c>
      <c r="Q277" s="29">
        <f>SUM(M277:P277)</f>
        <v>103.45400000000001</v>
      </c>
      <c r="R277" s="28">
        <f>R182</f>
        <v>25.63</v>
      </c>
      <c r="S277" s="28">
        <f>S182</f>
        <v>28.850999999999999</v>
      </c>
      <c r="T277" s="28">
        <f>T182</f>
        <v>31.773</v>
      </c>
      <c r="U277" s="28">
        <f>U182</f>
        <v>41.064999999999998</v>
      </c>
      <c r="V277" s="29">
        <f>SUM(R277:U277)</f>
        <v>127.31899999999999</v>
      </c>
      <c r="W277" s="28">
        <f>W182</f>
        <v>30.373000000000001</v>
      </c>
      <c r="X277" s="28">
        <f>X182</f>
        <v>34.689</v>
      </c>
      <c r="Y277" s="28">
        <f>Y182</f>
        <v>37.671999999999997</v>
      </c>
      <c r="Z277" s="28">
        <f>Z182</f>
        <v>49.390999999999998</v>
      </c>
      <c r="AA277" s="29">
        <f>SUM(W277:Z277)</f>
        <v>152.125</v>
      </c>
      <c r="AB277" s="28">
        <f>AB182</f>
        <v>41.25</v>
      </c>
      <c r="AC277" s="28">
        <f>AC182</f>
        <v>45.095999999999997</v>
      </c>
      <c r="AD277" s="28">
        <f>AD182</f>
        <v>49.497999999999998</v>
      </c>
      <c r="AE277" s="28">
        <f>AE182</f>
        <v>63.793999999999997</v>
      </c>
      <c r="AF277" s="29">
        <f>SUM(AB277:AE277)</f>
        <v>199.63799999999998</v>
      </c>
      <c r="AG277" s="28">
        <f>AG182</f>
        <v>48.165999999999997</v>
      </c>
      <c r="AH277" s="28">
        <f>AH280*AH282</f>
        <v>52.582636593532818</v>
      </c>
      <c r="AI277" s="28">
        <f t="shared" ref="AI277:AJ277" si="462">AI280*AI282</f>
        <v>57.100047685876952</v>
      </c>
      <c r="AJ277" s="28">
        <f t="shared" si="462"/>
        <v>73.491086730907952</v>
      </c>
      <c r="AK277" s="29">
        <f>SUM(AG277:AJ277)</f>
        <v>231.33977101031769</v>
      </c>
      <c r="AL277" s="29">
        <f>AL280*AL282</f>
        <v>262.51013403259083</v>
      </c>
      <c r="AM277" s="29">
        <f>AM280*AM282</f>
        <v>295.99552400142528</v>
      </c>
      <c r="AN277" s="29">
        <f t="shared" ref="AN277:AT277" si="463">AN280*AN282</f>
        <v>331.73972895331445</v>
      </c>
      <c r="AO277" s="29">
        <f t="shared" si="463"/>
        <v>369.86987746295239</v>
      </c>
      <c r="AP277" s="29">
        <f t="shared" si="463"/>
        <v>410.51965428703608</v>
      </c>
      <c r="AQ277" s="29">
        <f t="shared" si="463"/>
        <v>453.82962145310574</v>
      </c>
      <c r="AR277" s="29">
        <f t="shared" si="463"/>
        <v>499.9475545456018</v>
      </c>
      <c r="AS277" s="29">
        <f t="shared" si="463"/>
        <v>549.02879489117254</v>
      </c>
      <c r="AT277" s="29">
        <f t="shared" si="463"/>
        <v>601.23661837711597</v>
      </c>
      <c r="AU277" s="8" t="s">
        <v>29</v>
      </c>
    </row>
    <row r="278" spans="1:47" ht="16.2" customHeight="1" x14ac:dyDescent="0.3">
      <c r="B278" s="20" t="s">
        <v>35</v>
      </c>
      <c r="G278" s="7"/>
      <c r="H278" s="21">
        <f t="shared" ref="H278:K278" si="464">H277/C277-1</f>
        <v>0.27913338439654223</v>
      </c>
      <c r="I278" s="21">
        <f t="shared" si="464"/>
        <v>5.0293918918918923</v>
      </c>
      <c r="J278" s="21">
        <f t="shared" si="464"/>
        <v>1.1237894333109599</v>
      </c>
      <c r="K278" s="21">
        <f t="shared" si="464"/>
        <v>0.40323719241629696</v>
      </c>
      <c r="L278" s="14">
        <f>L277/SUM(C277:F277)-1</f>
        <v>0.8771246458923514</v>
      </c>
      <c r="M278" s="21">
        <f t="shared" ref="M278:P278" si="465">M277/H277-1</f>
        <v>0.80898203592814366</v>
      </c>
      <c r="N278" s="21">
        <f t="shared" si="465"/>
        <v>0.32498459124782864</v>
      </c>
      <c r="O278" s="21">
        <f t="shared" si="465"/>
        <v>0.22484085060273595</v>
      </c>
      <c r="P278" s="21">
        <f t="shared" si="465"/>
        <v>0.13302669876747264</v>
      </c>
      <c r="Q278" s="14">
        <f>Q277/SUM(H277:K277)-1</f>
        <v>0.30106269257372831</v>
      </c>
      <c r="R278" s="21">
        <f t="shared" ref="R278:U278" si="466">R277/M277-1</f>
        <v>0.21199224476285061</v>
      </c>
      <c r="S278" s="21">
        <f t="shared" si="466"/>
        <v>0.22007019917959991</v>
      </c>
      <c r="T278" s="21">
        <f t="shared" si="466"/>
        <v>0.17118212982417336</v>
      </c>
      <c r="U278" s="21">
        <f t="shared" si="466"/>
        <v>0.30236909707906512</v>
      </c>
      <c r="V278" s="14">
        <f>V277/SUM(M277:P277)-1</f>
        <v>0.2306822355829643</v>
      </c>
      <c r="W278" s="21">
        <f t="shared" ref="W278:Z278" si="467">W277/R277-1</f>
        <v>0.18505657432696077</v>
      </c>
      <c r="X278" s="21">
        <f t="shared" si="467"/>
        <v>0.20235000519912649</v>
      </c>
      <c r="Y278" s="21">
        <f t="shared" si="467"/>
        <v>0.18566078116639906</v>
      </c>
      <c r="Z278" s="21">
        <f t="shared" si="467"/>
        <v>0.20275173505418231</v>
      </c>
      <c r="AA278" s="14">
        <f>AA277/SUM(R277:U277)-1</f>
        <v>0.19483344983859441</v>
      </c>
      <c r="AB278" s="21">
        <f t="shared" ref="AB278:AE278" si="468">AB277/W277-1</f>
        <v>0.35811411450959718</v>
      </c>
      <c r="AC278" s="21">
        <f t="shared" si="468"/>
        <v>0.30000864827466911</v>
      </c>
      <c r="AD278" s="21">
        <f t="shared" si="468"/>
        <v>0.31392015289870456</v>
      </c>
      <c r="AE278" s="21">
        <f t="shared" si="468"/>
        <v>0.29161183211516262</v>
      </c>
      <c r="AF278" s="14">
        <f>AF277/SUM(W277:Z277)-1</f>
        <v>0.31232867707477396</v>
      </c>
      <c r="AG278" s="21">
        <f t="shared" ref="AG278:AJ278" si="469">AG277/AB277-1</f>
        <v>0.16766060606060607</v>
      </c>
      <c r="AH278" s="21">
        <f t="shared" si="469"/>
        <v>0.166015535602555</v>
      </c>
      <c r="AI278" s="21">
        <f t="shared" si="469"/>
        <v>0.15358292629756676</v>
      </c>
      <c r="AJ278" s="21">
        <f t="shared" si="469"/>
        <v>0.15200625028855308</v>
      </c>
      <c r="AK278" s="108">
        <f>AK277/SUM(AB277:AE277)-1</f>
        <v>0.15879627631171278</v>
      </c>
      <c r="AL278" s="14">
        <f>AL277/AK277-1</f>
        <v>0.13473845368716542</v>
      </c>
      <c r="AM278" s="14">
        <f>AM277/AL277-1</f>
        <v>0.12755846585593988</v>
      </c>
      <c r="AN278" s="14">
        <f t="shared" ref="AN278:AT278" si="470">AN277/AM277-1</f>
        <v>0.1207592752372737</v>
      </c>
      <c r="AO278" s="14">
        <f t="shared" si="470"/>
        <v>0.11493995196156925</v>
      </c>
      <c r="AP278" s="14">
        <f t="shared" si="470"/>
        <v>0.10990291262135909</v>
      </c>
      <c r="AQ278" s="14">
        <f t="shared" si="470"/>
        <v>0.10550034989503154</v>
      </c>
      <c r="AR278" s="14">
        <f t="shared" si="470"/>
        <v>0.10161948650427921</v>
      </c>
      <c r="AS278" s="14">
        <f t="shared" si="470"/>
        <v>9.8172778123057913E-2</v>
      </c>
      <c r="AT278" s="14">
        <f t="shared" si="470"/>
        <v>9.5091230135373905E-2</v>
      </c>
      <c r="AU278" s="8" t="s">
        <v>29</v>
      </c>
    </row>
    <row r="279" spans="1:47" ht="16.2" customHeight="1" x14ac:dyDescent="0.3">
      <c r="B279" s="20" t="s">
        <v>37</v>
      </c>
      <c r="C279" s="21">
        <f>C277/C$167</f>
        <v>0.11510220531744732</v>
      </c>
      <c r="D279" s="21">
        <f t="shared" ref="D279:AJ279" si="471">D277/D$167</f>
        <v>9.1672086469076167E-2</v>
      </c>
      <c r="E279" s="21">
        <f t="shared" si="471"/>
        <v>0.11398312494535282</v>
      </c>
      <c r="F279" s="21">
        <f t="shared" si="471"/>
        <v>0.11965801651995005</v>
      </c>
      <c r="G279" s="14">
        <f>G277/G167</f>
        <v>0.11482070784418429</v>
      </c>
      <c r="H279" s="21">
        <f t="shared" si="471"/>
        <v>0.12958795685574609</v>
      </c>
      <c r="I279" s="21">
        <f t="shared" si="471"/>
        <v>0.13785405868858283</v>
      </c>
      <c r="J279" s="21">
        <f t="shared" si="471"/>
        <v>0.13087872932584074</v>
      </c>
      <c r="K279" s="21">
        <f t="shared" si="471"/>
        <v>0.13356915559949892</v>
      </c>
      <c r="L279" s="14">
        <f>L277/L167</f>
        <v>0.13313431136501391</v>
      </c>
      <c r="M279" s="21">
        <f t="shared" si="471"/>
        <v>0.13702722141945348</v>
      </c>
      <c r="N279" s="21">
        <f t="shared" si="471"/>
        <v>0.13317826750544889</v>
      </c>
      <c r="O279" s="21">
        <f t="shared" si="471"/>
        <v>0.14560902562340994</v>
      </c>
      <c r="P279" s="21">
        <f t="shared" si="471"/>
        <v>0.12226104017464201</v>
      </c>
      <c r="Q279" s="14">
        <f>Q277/Q167</f>
        <v>0.13330000425203486</v>
      </c>
      <c r="R279" s="21">
        <f t="shared" si="471"/>
        <v>0.13083339288813567</v>
      </c>
      <c r="S279" s="21">
        <f t="shared" si="471"/>
        <v>0.13809592188397474</v>
      </c>
      <c r="T279" s="21">
        <f t="shared" si="471"/>
        <v>0.14328556095713113</v>
      </c>
      <c r="U279" s="21">
        <f t="shared" si="471"/>
        <v>0.13547395264597303</v>
      </c>
      <c r="V279" s="14">
        <f>V277/V167</f>
        <v>0.13694853633219853</v>
      </c>
      <c r="W279" s="21">
        <f t="shared" si="471"/>
        <v>0.13594210163544082</v>
      </c>
      <c r="X279" s="21">
        <f t="shared" si="471"/>
        <v>0.13435142295000696</v>
      </c>
      <c r="Y279" s="21">
        <f t="shared" si="471"/>
        <v>0.13979723611750208</v>
      </c>
      <c r="Z279" s="21">
        <f t="shared" si="471"/>
        <v>0.13415197244766033</v>
      </c>
      <c r="AA279" s="14">
        <f>AA277/AA167</f>
        <v>0.13591447997355419</v>
      </c>
      <c r="AB279" s="21">
        <f t="shared" si="471"/>
        <v>0.14312579803475267</v>
      </c>
      <c r="AC279" s="21">
        <f t="shared" si="471"/>
        <v>0.1388722939057063</v>
      </c>
      <c r="AD279" s="21">
        <f t="shared" si="471"/>
        <v>0.13746504219930739</v>
      </c>
      <c r="AE279" s="21">
        <f t="shared" si="471"/>
        <v>0.1459486294866838</v>
      </c>
      <c r="AF279" s="14">
        <f>AF277/AF167</f>
        <v>0.14157578748952213</v>
      </c>
      <c r="AG279" s="21">
        <f t="shared" si="471"/>
        <v>0.13963425947400157</v>
      </c>
      <c r="AH279" s="21">
        <f t="shared" si="471"/>
        <v>0.14694449709926152</v>
      </c>
      <c r="AI279" s="21">
        <f t="shared" si="471"/>
        <v>0.1511284678212528</v>
      </c>
      <c r="AJ279" s="21">
        <f t="shared" si="471"/>
        <v>0.14562853429536446</v>
      </c>
      <c r="AK279" s="108">
        <f t="shared" ref="AK279:AT279" si="472">AK277/AK167</f>
        <v>0.14593209729711301</v>
      </c>
      <c r="AL279" s="14">
        <f t="shared" si="472"/>
        <v>0.14512245174848779</v>
      </c>
      <c r="AM279" s="14">
        <f t="shared" si="472"/>
        <v>0.14387063842884351</v>
      </c>
      <c r="AN279" s="14">
        <f t="shared" si="472"/>
        <v>0.14268394018531022</v>
      </c>
      <c r="AO279" s="14">
        <f t="shared" si="472"/>
        <v>0.14155078537491164</v>
      </c>
      <c r="AP279" s="14">
        <f t="shared" si="472"/>
        <v>0.14046253797062266</v>
      </c>
      <c r="AQ279" s="14">
        <f t="shared" si="472"/>
        <v>0.13941261040813716</v>
      </c>
      <c r="AR279" s="14">
        <f t="shared" si="472"/>
        <v>0.13839588014730206</v>
      </c>
      <c r="AS279" s="14">
        <f t="shared" si="472"/>
        <v>0.13740829517715614</v>
      </c>
      <c r="AT279" s="14">
        <f t="shared" si="472"/>
        <v>0.13644660072206877</v>
      </c>
      <c r="AU279" s="8" t="s">
        <v>29</v>
      </c>
    </row>
    <row r="280" spans="1:47" ht="16.2" customHeight="1" x14ac:dyDescent="0.3">
      <c r="B280" s="20" t="s">
        <v>164</v>
      </c>
      <c r="C280" s="21">
        <f>C277/C282</f>
        <v>0.16301594663051622</v>
      </c>
      <c r="D280" s="21">
        <f t="shared" ref="D280:AG280" si="473">D277/D282</f>
        <v>0.15992220001080554</v>
      </c>
      <c r="E280" s="21">
        <f t="shared" si="473"/>
        <v>0.1596259221844675</v>
      </c>
      <c r="F280" s="21">
        <f t="shared" si="473"/>
        <v>0.16073527147175867</v>
      </c>
      <c r="G280" s="14">
        <f>G277/G282</f>
        <v>0.16088845674698429</v>
      </c>
      <c r="H280" s="21">
        <f t="shared" si="473"/>
        <v>0.16310186541654456</v>
      </c>
      <c r="I280" s="21">
        <f t="shared" si="473"/>
        <v>0.1658889797739441</v>
      </c>
      <c r="J280" s="21">
        <f t="shared" si="473"/>
        <v>0.16552698248996706</v>
      </c>
      <c r="K280" s="21">
        <f t="shared" si="473"/>
        <v>0.16829036725265023</v>
      </c>
      <c r="L280" s="14">
        <f>L277/L282</f>
        <v>0.16620020943546482</v>
      </c>
      <c r="M280" s="21">
        <f t="shared" si="473"/>
        <v>0.1660776552634059</v>
      </c>
      <c r="N280" s="21">
        <f t="shared" si="473"/>
        <v>0.16697382450342815</v>
      </c>
      <c r="O280" s="21">
        <f t="shared" si="473"/>
        <v>0.17577084804623472</v>
      </c>
      <c r="P280" s="21">
        <f t="shared" si="473"/>
        <v>0.16416410683604934</v>
      </c>
      <c r="Q280" s="14">
        <f>Q277/Q282</f>
        <v>0.16811783556452584</v>
      </c>
      <c r="R280" s="21">
        <f t="shared" si="473"/>
        <v>0.16773011354340497</v>
      </c>
      <c r="S280" s="21">
        <f t="shared" si="473"/>
        <v>0.17026964820027973</v>
      </c>
      <c r="T280" s="21">
        <f t="shared" si="473"/>
        <v>0.16936567164179106</v>
      </c>
      <c r="U280" s="21">
        <f t="shared" si="473"/>
        <v>0.17135477302221164</v>
      </c>
      <c r="V280" s="14">
        <f>V277/V282</f>
        <v>0.1698725945534138</v>
      </c>
      <c r="W280" s="21">
        <f t="shared" si="473"/>
        <v>0.17171722882438745</v>
      </c>
      <c r="X280" s="21">
        <f t="shared" si="473"/>
        <v>0.17004828549719356</v>
      </c>
      <c r="Y280" s="21">
        <f t="shared" si="473"/>
        <v>0.17250187785177487</v>
      </c>
      <c r="Z280" s="21">
        <f t="shared" si="473"/>
        <v>0.17100429665996142</v>
      </c>
      <c r="AA280" s="14">
        <f>AA277/AA282</f>
        <v>0.17129495627780708</v>
      </c>
      <c r="AB280" s="21">
        <f t="shared" si="473"/>
        <v>0.1722338204592902</v>
      </c>
      <c r="AC280" s="21">
        <f t="shared" si="473"/>
        <v>0.16985346893995715</v>
      </c>
      <c r="AD280" s="21">
        <f t="shared" si="473"/>
        <v>0.17215606655644328</v>
      </c>
      <c r="AE280" s="21">
        <f t="shared" si="473"/>
        <v>0.17030216795295158</v>
      </c>
      <c r="AF280" s="14">
        <f>AF277/AF282</f>
        <v>0.17105319445296363</v>
      </c>
      <c r="AG280" s="21">
        <f t="shared" si="473"/>
        <v>0.17194037096797224</v>
      </c>
      <c r="AH280" s="78">
        <f>AG280</f>
        <v>0.17194037096797224</v>
      </c>
      <c r="AI280" s="78">
        <f t="shared" ref="AI280:AJ280" si="474">AH280</f>
        <v>0.17194037096797224</v>
      </c>
      <c r="AJ280" s="78">
        <f t="shared" si="474"/>
        <v>0.17194037096797224</v>
      </c>
      <c r="AK280" s="85">
        <f>AK277/AK282</f>
        <v>0.17194037096797221</v>
      </c>
      <c r="AL280" s="79">
        <f>AK280</f>
        <v>0.17194037096797221</v>
      </c>
      <c r="AM280" s="79">
        <f>AL280</f>
        <v>0.17194037096797221</v>
      </c>
      <c r="AN280" s="79">
        <f t="shared" ref="AN280:AT280" si="475">AM280</f>
        <v>0.17194037096797221</v>
      </c>
      <c r="AO280" s="79">
        <f t="shared" si="475"/>
        <v>0.17194037096797221</v>
      </c>
      <c r="AP280" s="79">
        <f t="shared" si="475"/>
        <v>0.17194037096797221</v>
      </c>
      <c r="AQ280" s="79">
        <f t="shared" si="475"/>
        <v>0.17194037096797221</v>
      </c>
      <c r="AR280" s="79">
        <f t="shared" si="475"/>
        <v>0.17194037096797221</v>
      </c>
      <c r="AS280" s="79">
        <f t="shared" si="475"/>
        <v>0.17194037096797221</v>
      </c>
      <c r="AT280" s="79">
        <f t="shared" si="475"/>
        <v>0.17194037096797221</v>
      </c>
      <c r="AU280" s="8" t="s">
        <v>29</v>
      </c>
    </row>
    <row r="281" spans="1:47" ht="7.95" customHeight="1" x14ac:dyDescent="0.3">
      <c r="G281" s="7"/>
      <c r="L281" s="7"/>
      <c r="Q281" s="7"/>
      <c r="V281" s="7"/>
      <c r="AA281" s="7"/>
      <c r="AF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8" t="s">
        <v>29</v>
      </c>
    </row>
    <row r="282" spans="1:47" ht="16.2" customHeight="1" x14ac:dyDescent="0.3">
      <c r="B282" s="6" t="s">
        <v>165</v>
      </c>
      <c r="C282" s="22">
        <f>C$225</f>
        <v>56.061999999999998</v>
      </c>
      <c r="D282" s="22">
        <f t="shared" ref="D282:AJ282" si="476">D$225</f>
        <v>18.509</v>
      </c>
      <c r="E282" s="22">
        <f t="shared" si="476"/>
        <v>65.334000000000003</v>
      </c>
      <c r="F282" s="22">
        <f t="shared" si="476"/>
        <v>123.383</v>
      </c>
      <c r="G282" s="23">
        <f>SUM(C282:F282)</f>
        <v>263.28800000000001</v>
      </c>
      <c r="H282" s="22">
        <f t="shared" si="476"/>
        <v>71.673000000000002</v>
      </c>
      <c r="I282" s="22">
        <f t="shared" si="476"/>
        <v>107.584</v>
      </c>
      <c r="J282" s="22">
        <f t="shared" si="476"/>
        <v>133.809</v>
      </c>
      <c r="K282" s="22">
        <f t="shared" si="476"/>
        <v>165.363</v>
      </c>
      <c r="L282" s="23">
        <f>SUM(H282:K282)</f>
        <v>478.42900000000003</v>
      </c>
      <c r="M282" s="22">
        <f t="shared" si="476"/>
        <v>127.33199999999999</v>
      </c>
      <c r="N282" s="22">
        <f t="shared" si="476"/>
        <v>141.62100000000001</v>
      </c>
      <c r="O282" s="22">
        <f t="shared" si="476"/>
        <v>154.34299999999999</v>
      </c>
      <c r="P282" s="22">
        <f t="shared" si="476"/>
        <v>192.07</v>
      </c>
      <c r="Q282" s="23">
        <f>SUM(M282:P282)</f>
        <v>615.36599999999999</v>
      </c>
      <c r="R282" s="22">
        <f t="shared" si="476"/>
        <v>152.80500000000001</v>
      </c>
      <c r="S282" s="22">
        <f t="shared" si="476"/>
        <v>169.44300000000001</v>
      </c>
      <c r="T282" s="22">
        <f t="shared" si="476"/>
        <v>187.6</v>
      </c>
      <c r="U282" s="22">
        <f t="shared" si="476"/>
        <v>239.649</v>
      </c>
      <c r="V282" s="23">
        <f>SUM(R282:U282)</f>
        <v>749.49700000000007</v>
      </c>
      <c r="W282" s="22">
        <f t="shared" si="476"/>
        <v>176.87799999999999</v>
      </c>
      <c r="X282" s="22">
        <f t="shared" si="476"/>
        <v>203.995</v>
      </c>
      <c r="Y282" s="22">
        <f t="shared" si="476"/>
        <v>218.38602842555892</v>
      </c>
      <c r="Z282" s="22">
        <f t="shared" si="476"/>
        <v>288.82900000000001</v>
      </c>
      <c r="AA282" s="23">
        <f>SUM(W282:Z282)</f>
        <v>888.08802842555883</v>
      </c>
      <c r="AB282" s="22">
        <f t="shared" si="476"/>
        <v>239.5</v>
      </c>
      <c r="AC282" s="22">
        <f t="shared" si="476"/>
        <v>265.49943478599982</v>
      </c>
      <c r="AD282" s="22">
        <f t="shared" si="476"/>
        <v>287.51818620211986</v>
      </c>
      <c r="AE282" s="22">
        <f t="shared" si="476"/>
        <v>374.59300000000002</v>
      </c>
      <c r="AF282" s="23">
        <f>SUM(AB282:AE282)</f>
        <v>1167.1106209881198</v>
      </c>
      <c r="AG282" s="22">
        <f t="shared" si="476"/>
        <v>280.13200000000001</v>
      </c>
      <c r="AH282" s="22">
        <f t="shared" si="476"/>
        <v>305.81902491839753</v>
      </c>
      <c r="AI282" s="22">
        <f t="shared" si="476"/>
        <v>332.09215127559031</v>
      </c>
      <c r="AJ282" s="22">
        <f t="shared" si="476"/>
        <v>427.42193888017908</v>
      </c>
      <c r="AK282" s="23">
        <f>SUM(AG282:AJ282)</f>
        <v>1345.465115074167</v>
      </c>
      <c r="AL282" s="23">
        <f t="shared" ref="AL282:AT282" si="477">AL225</f>
        <v>1526.7510041692842</v>
      </c>
      <c r="AM282" s="23">
        <f t="shared" si="477"/>
        <v>1721.5010200051338</v>
      </c>
      <c r="AN282" s="23">
        <f t="shared" si="477"/>
        <v>1929.3882355011813</v>
      </c>
      <c r="AO282" s="23">
        <f t="shared" si="477"/>
        <v>2151.1520266049038</v>
      </c>
      <c r="AP282" s="23">
        <f t="shared" si="477"/>
        <v>2387.5698998201224</v>
      </c>
      <c r="AQ282" s="23">
        <f t="shared" si="477"/>
        <v>2639.4593596499903</v>
      </c>
      <c r="AR282" s="23">
        <f t="shared" si="477"/>
        <v>2907.6798644265364</v>
      </c>
      <c r="AS282" s="23">
        <f t="shared" si="477"/>
        <v>3193.1348746097656</v>
      </c>
      <c r="AT282" s="23">
        <f t="shared" si="477"/>
        <v>3496.7739978245709</v>
      </c>
      <c r="AU282" s="8" t="s">
        <v>29</v>
      </c>
    </row>
    <row r="283" spans="1:47" ht="16.2" customHeight="1" x14ac:dyDescent="0.3">
      <c r="B283" s="20" t="s">
        <v>56</v>
      </c>
      <c r="G283" s="7"/>
      <c r="H283" s="21">
        <f t="shared" ref="H283:K283" si="478">H282/C282-1</f>
        <v>0.27845956262709159</v>
      </c>
      <c r="I283" s="21">
        <f t="shared" si="478"/>
        <v>4.8125236371494946</v>
      </c>
      <c r="J283" s="21">
        <f t="shared" si="478"/>
        <v>1.0480760400404074</v>
      </c>
      <c r="K283" s="21">
        <f t="shared" si="478"/>
        <v>0.34024136226222423</v>
      </c>
      <c r="L283" s="14">
        <f>L282/SUM(C282:F282)-1</f>
        <v>0.81713181003311974</v>
      </c>
      <c r="M283" s="21">
        <f t="shared" ref="M283:P283" si="479">M282/H282-1</f>
        <v>0.77656858231133041</v>
      </c>
      <c r="N283" s="21">
        <f t="shared" si="479"/>
        <v>0.31637604104699579</v>
      </c>
      <c r="O283" s="21">
        <f t="shared" si="479"/>
        <v>0.15345754022524627</v>
      </c>
      <c r="P283" s="21">
        <f t="shared" si="479"/>
        <v>0.16150529441289763</v>
      </c>
      <c r="Q283" s="14">
        <f>Q282/SUM(H282:K282)-1</f>
        <v>0.28622219806909688</v>
      </c>
      <c r="R283" s="21">
        <f t="shared" ref="R283:U283" si="480">R282/M282-1</f>
        <v>0.20005183300348706</v>
      </c>
      <c r="S283" s="21">
        <f t="shared" si="480"/>
        <v>0.19645391573283622</v>
      </c>
      <c r="T283" s="21">
        <f t="shared" si="480"/>
        <v>0.21547462469953294</v>
      </c>
      <c r="U283" s="21">
        <f t="shared" si="480"/>
        <v>0.2477169781850368</v>
      </c>
      <c r="V283" s="14">
        <f>V282/SUM(M282:P282)-1</f>
        <v>0.21796946857642463</v>
      </c>
      <c r="W283" s="21">
        <f t="shared" ref="W283:Z283" si="481">W282/R282-1</f>
        <v>0.15754065639213355</v>
      </c>
      <c r="X283" s="21">
        <f t="shared" si="481"/>
        <v>0.20391518091629623</v>
      </c>
      <c r="Y283" s="21">
        <f t="shared" si="481"/>
        <v>0.1641046291341095</v>
      </c>
      <c r="Z283" s="21">
        <f t="shared" si="481"/>
        <v>0.20521679623115485</v>
      </c>
      <c r="AA283" s="14">
        <f>AA282/SUM(R282:U282)-1</f>
        <v>0.18491205225045437</v>
      </c>
      <c r="AB283" s="21">
        <f t="shared" ref="AB283:AE283" si="482">AB282/W282-1</f>
        <v>0.35404063817998854</v>
      </c>
      <c r="AC283" s="21">
        <f t="shared" si="482"/>
        <v>0.30149971708130008</v>
      </c>
      <c r="AD283" s="21">
        <f t="shared" si="482"/>
        <v>0.31655943502872019</v>
      </c>
      <c r="AE283" s="21">
        <f t="shared" si="482"/>
        <v>0.29693694192757647</v>
      </c>
      <c r="AF283" s="14">
        <f>AF282/SUM(W282:Z282)-1</f>
        <v>0.31418348590648648</v>
      </c>
      <c r="AG283" s="21">
        <f t="shared" ref="AG283:AJ283" si="483">AG282/AB282-1</f>
        <v>0.1696534446764093</v>
      </c>
      <c r="AH283" s="21">
        <f t="shared" si="483"/>
        <v>0.15186318631863172</v>
      </c>
      <c r="AI283" s="21">
        <f t="shared" si="483"/>
        <v>0.15503007187912554</v>
      </c>
      <c r="AJ283" s="21">
        <f t="shared" si="483"/>
        <v>0.14103023516237378</v>
      </c>
      <c r="AK283" s="108">
        <f>AK282/SUM(AB282:AE282)-1</f>
        <v>0.15281712879542275</v>
      </c>
      <c r="AL283" s="14">
        <f>AL282/AK282-1</f>
        <v>0.13473845368716542</v>
      </c>
      <c r="AM283" s="14">
        <f>AM282/AL282-1</f>
        <v>0.12755846585593988</v>
      </c>
      <c r="AN283" s="14">
        <f t="shared" ref="AN283:AT283" si="484">AN282/AM282-1</f>
        <v>0.1207592752372737</v>
      </c>
      <c r="AO283" s="14">
        <f t="shared" si="484"/>
        <v>0.11493995196156925</v>
      </c>
      <c r="AP283" s="14">
        <f t="shared" si="484"/>
        <v>0.10990291262135932</v>
      </c>
      <c r="AQ283" s="14">
        <f t="shared" si="484"/>
        <v>0.10550034989503132</v>
      </c>
      <c r="AR283" s="14">
        <f t="shared" si="484"/>
        <v>0.10161948650427943</v>
      </c>
      <c r="AS283" s="14">
        <f t="shared" si="484"/>
        <v>9.8172778123057913E-2</v>
      </c>
      <c r="AT283" s="14">
        <f t="shared" si="484"/>
        <v>9.5091230135373905E-2</v>
      </c>
      <c r="AU283" s="8" t="s">
        <v>29</v>
      </c>
    </row>
    <row r="284" spans="1:47" s="75" customFormat="1" ht="7.95" customHeight="1" x14ac:dyDescent="0.3">
      <c r="G284" s="76"/>
      <c r="L284" s="76"/>
      <c r="Q284" s="76"/>
      <c r="V284" s="76"/>
      <c r="AA284" s="76"/>
      <c r="AF284" s="76"/>
      <c r="AK284" s="7"/>
      <c r="AL284" s="76"/>
      <c r="AM284" s="76"/>
      <c r="AN284" s="76"/>
      <c r="AO284" s="76"/>
      <c r="AP284" s="76"/>
      <c r="AQ284" s="76"/>
      <c r="AR284" s="76"/>
      <c r="AS284" s="76"/>
      <c r="AT284" s="76"/>
      <c r="AU284" s="77" t="s">
        <v>29</v>
      </c>
    </row>
    <row r="285" spans="1:47" ht="16.2" customHeight="1" x14ac:dyDescent="0.3">
      <c r="A285" s="9" t="s">
        <v>30</v>
      </c>
      <c r="B285" s="10" t="s">
        <v>168</v>
      </c>
      <c r="C285" s="11"/>
      <c r="D285" s="11"/>
      <c r="E285" s="11"/>
      <c r="F285" s="11"/>
      <c r="G285" s="12"/>
      <c r="H285" s="11"/>
      <c r="I285" s="11"/>
      <c r="J285" s="11"/>
      <c r="K285" s="11"/>
      <c r="L285" s="12"/>
      <c r="M285" s="11"/>
      <c r="N285" s="11"/>
      <c r="O285" s="11"/>
      <c r="P285" s="11"/>
      <c r="Q285" s="12"/>
      <c r="R285" s="11"/>
      <c r="S285" s="11"/>
      <c r="T285" s="11"/>
      <c r="U285" s="11"/>
      <c r="V285" s="12"/>
      <c r="W285" s="11"/>
      <c r="X285" s="11"/>
      <c r="Y285" s="11"/>
      <c r="Z285" s="11"/>
      <c r="AA285" s="12"/>
      <c r="AB285" s="11"/>
      <c r="AC285" s="11"/>
      <c r="AD285" s="11"/>
      <c r="AE285" s="11"/>
      <c r="AF285" s="12"/>
      <c r="AG285" s="11"/>
      <c r="AH285" s="11"/>
      <c r="AI285" s="11"/>
      <c r="AJ285" s="11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8" t="s">
        <v>29</v>
      </c>
    </row>
    <row r="286" spans="1:47" ht="7.95" customHeight="1" x14ac:dyDescent="0.3">
      <c r="G286" s="7"/>
      <c r="L286" s="7"/>
      <c r="Q286" s="7"/>
      <c r="V286" s="7"/>
      <c r="AA286" s="7"/>
      <c r="AF286" s="7"/>
      <c r="AK286" s="103"/>
      <c r="AL286" s="7"/>
      <c r="AM286" s="7"/>
      <c r="AN286" s="7"/>
      <c r="AO286" s="7"/>
      <c r="AP286" s="7"/>
      <c r="AQ286" s="7"/>
      <c r="AR286" s="7"/>
      <c r="AS286" s="7"/>
      <c r="AT286" s="7"/>
      <c r="AU286" s="8" t="s">
        <v>29</v>
      </c>
    </row>
    <row r="287" spans="1:47" ht="16.2" customHeight="1" x14ac:dyDescent="0.3">
      <c r="B287" s="5" t="s">
        <v>169</v>
      </c>
      <c r="C287" s="18">
        <f>C291+C294-C297-C300-C303</f>
        <v>33.102999999999994</v>
      </c>
      <c r="D287" s="18">
        <f t="shared" ref="D287:AJ287" si="485">D291+D294-D297-D300-D303</f>
        <v>51.095999999999989</v>
      </c>
      <c r="E287" s="18">
        <f t="shared" si="485"/>
        <v>69.871000000000009</v>
      </c>
      <c r="F287" s="18">
        <f t="shared" si="485"/>
        <v>110.4188</v>
      </c>
      <c r="G287" s="19">
        <f>F287</f>
        <v>110.4188</v>
      </c>
      <c r="H287" s="18">
        <f t="shared" ref="H287:AG287" si="486">H291+H294-H297-H300-H303</f>
        <v>105.34953337760001</v>
      </c>
      <c r="I287" s="18">
        <f t="shared" si="486"/>
        <v>139.27788823760002</v>
      </c>
      <c r="J287" s="18">
        <f t="shared" si="486"/>
        <v>167.20348309759999</v>
      </c>
      <c r="K287" s="18">
        <f t="shared" si="486"/>
        <v>198.75148703760004</v>
      </c>
      <c r="L287" s="19">
        <f>K287</f>
        <v>198.75148703760004</v>
      </c>
      <c r="M287" s="18">
        <f t="shared" si="486"/>
        <v>199.88763977760004</v>
      </c>
      <c r="N287" s="18">
        <f t="shared" si="486"/>
        <v>210.24491391760003</v>
      </c>
      <c r="O287" s="18">
        <f t="shared" si="486"/>
        <v>233.51619939760002</v>
      </c>
      <c r="P287" s="18">
        <f t="shared" si="486"/>
        <v>258.85549579759999</v>
      </c>
      <c r="Q287" s="19">
        <f>P287</f>
        <v>258.85549579759999</v>
      </c>
      <c r="R287" s="18">
        <f t="shared" si="486"/>
        <v>253.70698051759996</v>
      </c>
      <c r="S287" s="18">
        <f t="shared" si="486"/>
        <v>275.84913413759995</v>
      </c>
      <c r="T287" s="18">
        <f t="shared" si="486"/>
        <v>292.29805913759998</v>
      </c>
      <c r="U287" s="18">
        <f t="shared" si="486"/>
        <v>327.1652210076</v>
      </c>
      <c r="V287" s="19">
        <f>U287</f>
        <v>327.1652210076</v>
      </c>
      <c r="W287" s="18">
        <f t="shared" si="486"/>
        <v>298.35242532760003</v>
      </c>
      <c r="X287" s="18">
        <f t="shared" si="486"/>
        <v>302.4715151076</v>
      </c>
      <c r="Y287" s="18">
        <f t="shared" si="486"/>
        <v>326.37192287759996</v>
      </c>
      <c r="Z287" s="18">
        <f t="shared" si="486"/>
        <v>398.02756941999996</v>
      </c>
      <c r="AA287" s="19">
        <f>Z287</f>
        <v>398.02756941999996</v>
      </c>
      <c r="AB287" s="18">
        <f t="shared" si="486"/>
        <v>367.34038557000002</v>
      </c>
      <c r="AC287" s="18">
        <f t="shared" si="486"/>
        <v>389.89472259000001</v>
      </c>
      <c r="AD287" s="18">
        <f t="shared" si="486"/>
        <v>415.67400000000009</v>
      </c>
      <c r="AE287" s="18">
        <f t="shared" si="486"/>
        <v>471.62955275000002</v>
      </c>
      <c r="AF287" s="19">
        <f>AE287</f>
        <v>471.62955275000002</v>
      </c>
      <c r="AG287" s="18">
        <f t="shared" si="486"/>
        <v>453.22767943999997</v>
      </c>
      <c r="AH287" s="18">
        <f t="shared" si="485"/>
        <v>461.32480540507873</v>
      </c>
      <c r="AI287" s="18">
        <f t="shared" si="485"/>
        <v>462.8898925958166</v>
      </c>
      <c r="AJ287" s="18">
        <f t="shared" si="485"/>
        <v>520.18125262896558</v>
      </c>
      <c r="AK287" s="110">
        <f>AJ287</f>
        <v>520.18125262896558</v>
      </c>
      <c r="AL287" s="19">
        <f>AL291+AL294-AL297-AL300-AL303</f>
        <v>593.56281479486188</v>
      </c>
      <c r="AM287" s="19">
        <f>AM291+AM294-AM297-AM300-AM303</f>
        <v>675.10013032486813</v>
      </c>
      <c r="AN287" s="19">
        <f t="shared" ref="AN287:AT287" si="487">AN291+AN294-AN297-AN300-AN303</f>
        <v>762.91755900549288</v>
      </c>
      <c r="AO287" s="19">
        <f t="shared" si="487"/>
        <v>857.41662277329374</v>
      </c>
      <c r="AP287" s="19">
        <f t="shared" si="487"/>
        <v>959.02220329237116</v>
      </c>
      <c r="AQ287" s="19">
        <f t="shared" si="487"/>
        <v>1068.1838279612566</v>
      </c>
      <c r="AR287" s="19">
        <f t="shared" si="487"/>
        <v>1185.3770244662098</v>
      </c>
      <c r="AS287" s="19">
        <f t="shared" si="487"/>
        <v>1311.1047474809163</v>
      </c>
      <c r="AT287" s="19">
        <f t="shared" si="487"/>
        <v>1445.8988813020374</v>
      </c>
      <c r="AU287" s="8" t="s">
        <v>29</v>
      </c>
    </row>
    <row r="288" spans="1:47" ht="16.2" customHeight="1" x14ac:dyDescent="0.3">
      <c r="B288" s="20" t="s">
        <v>170</v>
      </c>
      <c r="C288" s="8"/>
      <c r="F288" s="69">
        <f>F287/SUM(C$16:F$16)*365</f>
        <v>150.76662013686942</v>
      </c>
      <c r="G288" s="70">
        <f>F288</f>
        <v>150.76662013686942</v>
      </c>
      <c r="H288" s="69">
        <f>H287/SUM(D$16:F$16,H$16)*365</f>
        <v>139.87917547247832</v>
      </c>
      <c r="I288" s="69">
        <f>I287/SUM(E$16:F$16,H$16:I$16)*365</f>
        <v>146.96664782194807</v>
      </c>
      <c r="J288" s="69">
        <f>J287/SUM(F$16,H$16:J$16)*365</f>
        <v>150.90658737415649</v>
      </c>
      <c r="K288" s="69">
        <f t="shared" ref="K288:AE288" si="488">K287/SUM(H$16:K$16)*365</f>
        <v>166.92511308064084</v>
      </c>
      <c r="L288" s="70">
        <f>K288</f>
        <v>166.92511308064084</v>
      </c>
      <c r="M288" s="69">
        <f>M287/SUM(I$16:K$16,M$16)*365</f>
        <v>150.92792557083726</v>
      </c>
      <c r="N288" s="69">
        <f>N287/SUM(J$16:K$16,M$16:N$16)*365</f>
        <v>147.4603849030382</v>
      </c>
      <c r="O288" s="69">
        <f>O287/SUM(K$16,M$16:O$16)*365</f>
        <v>159.68106252168116</v>
      </c>
      <c r="P288" s="69">
        <f t="shared" si="488"/>
        <v>166.51026912077344</v>
      </c>
      <c r="Q288" s="70">
        <f>P288</f>
        <v>166.51026912077344</v>
      </c>
      <c r="R288" s="69">
        <f>R287/SUM(N$16:P$16,R$16)*365</f>
        <v>155.22006310665239</v>
      </c>
      <c r="S288" s="69">
        <f>S287/SUM(O$16:P$16,R$16:S$16)*365</f>
        <v>162.15329263674309</v>
      </c>
      <c r="T288" s="69">
        <f>T287/SUM(P$16,R$16:T$16)*365</f>
        <v>164.88362352146126</v>
      </c>
      <c r="U288" s="69">
        <f t="shared" si="488"/>
        <v>174.66291155199505</v>
      </c>
      <c r="V288" s="70">
        <f>U288</f>
        <v>174.66291155199505</v>
      </c>
      <c r="W288" s="69">
        <f>W287/SUM(S$16:U$16,W$16)*365</f>
        <v>154.65675822918809</v>
      </c>
      <c r="X288" s="69">
        <f>X287/SUM(T$16:U$16,W$16:X$16)*365</f>
        <v>149.11994474374774</v>
      </c>
      <c r="Y288" s="69">
        <f>Y287/SUM(U$16,W$16:Y$16)*365</f>
        <v>152.6441083914635</v>
      </c>
      <c r="Z288" s="69">
        <f t="shared" si="488"/>
        <v>174.66605451615189</v>
      </c>
      <c r="AA288" s="70">
        <f>Z288</f>
        <v>174.66605451615189</v>
      </c>
      <c r="AB288" s="69">
        <f>AB287/SUM(X16:Z16,AB16)*365</f>
        <v>151.9459581704846</v>
      </c>
      <c r="AC288" s="69">
        <f>AC287/SUM(Y16:Z16,AB16:AC16)*365</f>
        <v>152.61245673777992</v>
      </c>
      <c r="AD288" s="69">
        <f>AD287/SUM(Z16,AB16:AD16)*365</f>
        <v>152.22380522867033</v>
      </c>
      <c r="AE288" s="69">
        <f t="shared" si="488"/>
        <v>164.49384885577041</v>
      </c>
      <c r="AF288" s="70">
        <f>AE288</f>
        <v>164.49384885577041</v>
      </c>
      <c r="AG288" s="69">
        <f>AG287/SUM(AC16:AE16,AG16)*365</f>
        <v>152.48460019283166</v>
      </c>
      <c r="AH288" s="69">
        <f>AH287/SUM(AD16:AE16,AG16:AH16)*365</f>
        <v>152.61245673777998</v>
      </c>
      <c r="AI288" s="69">
        <f>AI287/SUM(AE16,AG16:AI16)*365</f>
        <v>152.22380522867036</v>
      </c>
      <c r="AJ288" s="69">
        <f t="shared" ref="AJ288" si="489">AJ287/SUM(AG$16:AJ$16)*365</f>
        <v>164.49384885577041</v>
      </c>
      <c r="AK288" s="116">
        <f>AJ288</f>
        <v>164.49384885577041</v>
      </c>
      <c r="AL288" s="70">
        <f t="shared" ref="AL288:AT288" si="490">AL287/AL16*365</f>
        <v>164.49384885577047</v>
      </c>
      <c r="AM288" s="70">
        <f t="shared" si="490"/>
        <v>164.49384885577041</v>
      </c>
      <c r="AN288" s="70">
        <f t="shared" si="490"/>
        <v>164.49384885577041</v>
      </c>
      <c r="AO288" s="70">
        <f t="shared" si="490"/>
        <v>164.49384885577044</v>
      </c>
      <c r="AP288" s="70">
        <f t="shared" si="490"/>
        <v>164.49384885577041</v>
      </c>
      <c r="AQ288" s="70">
        <f t="shared" si="490"/>
        <v>164.49384885577044</v>
      </c>
      <c r="AR288" s="70">
        <f t="shared" si="490"/>
        <v>164.49384885577041</v>
      </c>
      <c r="AS288" s="70">
        <f t="shared" si="490"/>
        <v>164.49384885577044</v>
      </c>
      <c r="AT288" s="70">
        <f t="shared" si="490"/>
        <v>164.49384885577041</v>
      </c>
      <c r="AU288" s="8" t="s">
        <v>29</v>
      </c>
    </row>
    <row r="289" spans="2:47" ht="16.2" customHeight="1" x14ac:dyDescent="0.3">
      <c r="B289" s="20" t="s">
        <v>171</v>
      </c>
      <c r="C289" s="8"/>
      <c r="F289" s="21">
        <f>F287/SUM(C$16:F$16)</f>
        <v>0.41305923325169708</v>
      </c>
      <c r="G289" s="14">
        <f>F289</f>
        <v>0.41305923325169708</v>
      </c>
      <c r="H289" s="21">
        <f>H287/SUM(D$16:F$16,H$16)</f>
        <v>0.38323061773281736</v>
      </c>
      <c r="I289" s="21">
        <f>I287/SUM(E$16:F$16,H$16:I$16)</f>
        <v>0.40264835019711803</v>
      </c>
      <c r="J289" s="21">
        <f>J287/SUM(F$16,H$16:J$16)</f>
        <v>0.41344270513467529</v>
      </c>
      <c r="K289" s="21">
        <f t="shared" ref="K289:AE289" si="491">K287/SUM(H$16:K$16)</f>
        <v>0.45732907693326258</v>
      </c>
      <c r="L289" s="14">
        <f>K289</f>
        <v>0.45732907693326258</v>
      </c>
      <c r="M289" s="21">
        <f>M287/SUM(I$16:K$16,M$16)</f>
        <v>0.41350116594749931</v>
      </c>
      <c r="N289" s="21">
        <f>N287/SUM(J$16:K$16,M$16:N$16)</f>
        <v>0.40400105452887181</v>
      </c>
      <c r="O289" s="21">
        <f>O287/SUM(K$16,M$16:O$16)</f>
        <v>0.43748236307309907</v>
      </c>
      <c r="P289" s="21">
        <f t="shared" si="491"/>
        <v>0.45619251813910533</v>
      </c>
      <c r="Q289" s="14">
        <f>P289</f>
        <v>0.45619251813910533</v>
      </c>
      <c r="R289" s="21">
        <f>R287/SUM(N$16:P$16,R$16)</f>
        <v>0.42526044686754083</v>
      </c>
      <c r="S289" s="21">
        <f>S287/SUM(O$16:P$16,R$16:S$16)</f>
        <v>0.44425559626504957</v>
      </c>
      <c r="T289" s="21">
        <f>T287/SUM(P$16,R$16:T$16)</f>
        <v>0.45173595485331852</v>
      </c>
      <c r="U289" s="21">
        <f t="shared" si="491"/>
        <v>0.47852852479998648</v>
      </c>
      <c r="V289" s="14">
        <f>U289</f>
        <v>0.47852852479998648</v>
      </c>
      <c r="W289" s="21">
        <f>W287/SUM(S$16:U$16,W$16)</f>
        <v>0.42371714583339204</v>
      </c>
      <c r="X289" s="21">
        <f>X287/SUM(T$16:U$16,W$16:X$16)</f>
        <v>0.40854779381848694</v>
      </c>
      <c r="Y289" s="21">
        <f>Y287/SUM(U$16,W$16:Y$16)</f>
        <v>0.4182030366889411</v>
      </c>
      <c r="Z289" s="21">
        <f t="shared" si="491"/>
        <v>0.47853713566069012</v>
      </c>
      <c r="AA289" s="14">
        <f>Z289</f>
        <v>0.47853713566069012</v>
      </c>
      <c r="AB289" s="21">
        <f>AB287/SUM(X16:Z16,AB16)</f>
        <v>0.4162902963574921</v>
      </c>
      <c r="AC289" s="21">
        <f>AC287/SUM(Y16:Z16,AB16:AC16)</f>
        <v>0.41811631982953407</v>
      </c>
      <c r="AD289" s="21">
        <f>AD287/SUM(Z16,AB16:AD16)</f>
        <v>0.41705152117443928</v>
      </c>
      <c r="AE289" s="21">
        <f t="shared" si="491"/>
        <v>0.45066807905690526</v>
      </c>
      <c r="AF289" s="14">
        <f>AE289</f>
        <v>0.45066807905690526</v>
      </c>
      <c r="AG289" s="21">
        <f>AG287/SUM(AC16:AE16,AG16)</f>
        <v>0.41776602792556622</v>
      </c>
      <c r="AH289" s="21">
        <f>AH287/SUM(AD16:AE16,AG16:AH16)</f>
        <v>0.41811631982953418</v>
      </c>
      <c r="AI289" s="21">
        <f>AI287/SUM(AE16,AG16:AI16)</f>
        <v>0.41705152117443933</v>
      </c>
      <c r="AJ289" s="21">
        <f t="shared" ref="AJ289" si="492">AJ287/SUM(AG$16:AJ$16)</f>
        <v>0.4506680790569052</v>
      </c>
      <c r="AK289" s="111">
        <f>AJ289</f>
        <v>0.4506680790569052</v>
      </c>
      <c r="AL289" s="14">
        <f t="shared" ref="AL289:AT289" si="493">AL287/AL16</f>
        <v>0.45066807905690537</v>
      </c>
      <c r="AM289" s="14">
        <f t="shared" si="493"/>
        <v>0.45066807905690526</v>
      </c>
      <c r="AN289" s="14">
        <f t="shared" si="493"/>
        <v>0.45066807905690526</v>
      </c>
      <c r="AO289" s="14">
        <f t="shared" si="493"/>
        <v>0.45066807905690531</v>
      </c>
      <c r="AP289" s="14">
        <f t="shared" si="493"/>
        <v>0.45066807905690526</v>
      </c>
      <c r="AQ289" s="14">
        <f t="shared" si="493"/>
        <v>0.45066807905690531</v>
      </c>
      <c r="AR289" s="14">
        <f t="shared" si="493"/>
        <v>0.45066807905690526</v>
      </c>
      <c r="AS289" s="14">
        <f t="shared" si="493"/>
        <v>0.45066807905690531</v>
      </c>
      <c r="AT289" s="14">
        <f t="shared" si="493"/>
        <v>0.45066807905690526</v>
      </c>
      <c r="AU289" s="8" t="s">
        <v>29</v>
      </c>
    </row>
    <row r="290" spans="2:47" ht="7.95" customHeight="1" x14ac:dyDescent="0.3">
      <c r="C290" s="8"/>
      <c r="G290" s="7"/>
      <c r="L290" s="7"/>
      <c r="Q290" s="7"/>
      <c r="V290" s="7"/>
      <c r="AA290" s="7"/>
      <c r="AF290" s="7"/>
      <c r="AK290" s="103"/>
      <c r="AL290" s="7"/>
      <c r="AM290" s="7"/>
      <c r="AN290" s="7"/>
      <c r="AO290" s="7"/>
      <c r="AP290" s="7"/>
      <c r="AQ290" s="7"/>
      <c r="AR290" s="7"/>
      <c r="AS290" s="7"/>
      <c r="AT290" s="7"/>
      <c r="AU290" s="8" t="s">
        <v>29</v>
      </c>
    </row>
    <row r="291" spans="2:47" ht="16.2" customHeight="1" x14ac:dyDescent="0.3">
      <c r="B291" s="20" t="s">
        <v>172</v>
      </c>
      <c r="C291" s="22">
        <f>C55</f>
        <v>18.664999999999999</v>
      </c>
      <c r="D291" s="22">
        <f>D55</f>
        <v>30.469000000000001</v>
      </c>
      <c r="E291" s="22">
        <f>E55</f>
        <v>51.710999999999999</v>
      </c>
      <c r="F291" s="22">
        <f>F55</f>
        <v>98.980999999999995</v>
      </c>
      <c r="G291" s="23">
        <f>F291</f>
        <v>98.980999999999995</v>
      </c>
      <c r="H291" s="22">
        <f>H55</f>
        <v>56.055999999999997</v>
      </c>
      <c r="I291" s="22">
        <f>I55</f>
        <v>70.373999999999995</v>
      </c>
      <c r="J291" s="22">
        <f>J55</f>
        <v>92.998999999999995</v>
      </c>
      <c r="K291" s="22">
        <f>K55</f>
        <v>125.322</v>
      </c>
      <c r="L291" s="23">
        <f>K291</f>
        <v>125.322</v>
      </c>
      <c r="M291" s="22">
        <f>M55</f>
        <v>84.68</v>
      </c>
      <c r="N291" s="22">
        <f>N55</f>
        <v>92.551000000000002</v>
      </c>
      <c r="O291" s="22">
        <f>O55</f>
        <v>98.753</v>
      </c>
      <c r="P291" s="22">
        <f>P55</f>
        <v>152.76900000000001</v>
      </c>
      <c r="Q291" s="23">
        <f>P291</f>
        <v>152.76900000000001</v>
      </c>
      <c r="R291" s="22">
        <f>R55</f>
        <v>115.381</v>
      </c>
      <c r="S291" s="22">
        <f>S55</f>
        <v>117.827</v>
      </c>
      <c r="T291" s="22">
        <f>T55</f>
        <v>126.392</v>
      </c>
      <c r="U291" s="22">
        <f>U55</f>
        <v>196.536</v>
      </c>
      <c r="V291" s="23">
        <f>U291</f>
        <v>196.536</v>
      </c>
      <c r="W291" s="22">
        <f>W55</f>
        <v>148.74299999999999</v>
      </c>
      <c r="X291" s="22">
        <f>X55</f>
        <v>152.94900000000001</v>
      </c>
      <c r="Y291" s="22">
        <f>Y55</f>
        <v>147.733</v>
      </c>
      <c r="Z291" s="22">
        <f>Z55</f>
        <v>241.66399999999999</v>
      </c>
      <c r="AA291" s="23">
        <f>Z291</f>
        <v>241.66399999999999</v>
      </c>
      <c r="AB291" s="22">
        <f>AB55</f>
        <v>173.739</v>
      </c>
      <c r="AC291" s="22">
        <f>AC55</f>
        <v>176.61500000000001</v>
      </c>
      <c r="AD291" s="22">
        <f>AD55</f>
        <v>206.108</v>
      </c>
      <c r="AE291" s="22">
        <f>AE55</f>
        <v>286.62200000000001</v>
      </c>
      <c r="AF291" s="23">
        <f>AE291</f>
        <v>286.62200000000001</v>
      </c>
      <c r="AG291" s="22">
        <f>AG55</f>
        <v>221.45699999999999</v>
      </c>
      <c r="AH291" s="22">
        <f>AH292*SUM(AD16:AE16,AG16:AH16)/365</f>
        <v>208.97148841969906</v>
      </c>
      <c r="AI291" s="22">
        <f>AI292*SUM(AE16,AG16:AI16)/365</f>
        <v>229.51955133864166</v>
      </c>
      <c r="AJ291" s="22">
        <f t="shared" ref="AJ291" si="494">AJ292*SUM(AG$16:AJ$16)/365</f>
        <v>316.12817755305389</v>
      </c>
      <c r="AK291" s="105">
        <f>AJ291</f>
        <v>316.12817755305389</v>
      </c>
      <c r="AL291" s="23">
        <f t="shared" ref="AL291:AT291" si="495">AL292*AL16/365</f>
        <v>360.72413212900148</v>
      </c>
      <c r="AM291" s="23">
        <f t="shared" si="495"/>
        <v>410.2765580013251</v>
      </c>
      <c r="AN291" s="23">
        <f t="shared" si="495"/>
        <v>463.64557802251164</v>
      </c>
      <c r="AO291" s="23">
        <f t="shared" si="495"/>
        <v>521.07520790325827</v>
      </c>
      <c r="AP291" s="23">
        <f t="shared" si="495"/>
        <v>582.82365969074874</v>
      </c>
      <c r="AQ291" s="23">
        <f t="shared" si="495"/>
        <v>649.16412330972469</v>
      </c>
      <c r="AR291" s="23">
        <f t="shared" si="495"/>
        <v>720.38558976106071</v>
      </c>
      <c r="AS291" s="23">
        <f t="shared" si="495"/>
        <v>796.79371816565026</v>
      </c>
      <c r="AT291" s="23">
        <f t="shared" si="495"/>
        <v>878.71174895655975</v>
      </c>
      <c r="AU291" s="8" t="s">
        <v>29</v>
      </c>
    </row>
    <row r="292" spans="2:47" ht="16.2" customHeight="1" x14ac:dyDescent="0.3">
      <c r="B292" s="24" t="s">
        <v>173</v>
      </c>
      <c r="C292" s="8"/>
      <c r="D292" s="8"/>
      <c r="E292" s="8"/>
      <c r="F292" s="69">
        <f>F291/SUM(C$16:F$16)*365</f>
        <v>135.1493661203298</v>
      </c>
      <c r="G292" s="70">
        <f>F292</f>
        <v>135.1493661203298</v>
      </c>
      <c r="H292" s="69">
        <f>H291/SUM(D$16:F$16,H$16)*365</f>
        <v>74.429063033253598</v>
      </c>
      <c r="I292" s="69">
        <f>I291/SUM(E$16:F$16,H$16:I$16)*365</f>
        <v>74.25895814975199</v>
      </c>
      <c r="J292" s="69">
        <f>J291/SUM(F$16,H$16:J$16)*365</f>
        <v>83.934625399024497</v>
      </c>
      <c r="K292" s="69">
        <f t="shared" ref="K292:AE292" si="496">K291/SUM(H$16:K$16)*365</f>
        <v>105.2540000243345</v>
      </c>
      <c r="L292" s="70">
        <f>K292</f>
        <v>105.2540000243345</v>
      </c>
      <c r="M292" s="69">
        <f>M291/SUM(I$16:K$16,M$16)*365</f>
        <v>63.938804578204468</v>
      </c>
      <c r="N292" s="69">
        <f>N291/SUM(J$16:K$16,M$16:N$16)*365</f>
        <v>64.912895293675973</v>
      </c>
      <c r="O292" s="69">
        <f>O291/SUM(K$16,M$16:O$16)*365</f>
        <v>67.528437032988336</v>
      </c>
      <c r="P292" s="69">
        <f t="shared" si="496"/>
        <v>98.269527656469734</v>
      </c>
      <c r="Q292" s="70">
        <f>P292</f>
        <v>98.269527656469734</v>
      </c>
      <c r="R292" s="69">
        <f>R291/SUM(N$16:P$16,R$16)*365</f>
        <v>70.591065585861017</v>
      </c>
      <c r="S292" s="69">
        <f>S291/SUM(O$16:P$16,R$16:S$16)*365</f>
        <v>69.262628179862233</v>
      </c>
      <c r="T292" s="69">
        <f>T291/SUM(P$16,R$16:T$16)*365</f>
        <v>71.296987074122399</v>
      </c>
      <c r="U292" s="69">
        <f t="shared" si="496"/>
        <v>104.9242027592703</v>
      </c>
      <c r="V292" s="70">
        <f>U292</f>
        <v>104.9242027592703</v>
      </c>
      <c r="W292" s="69">
        <f>W291/SUM(S$16:U$16,W$16)*365</f>
        <v>77.103814939747551</v>
      </c>
      <c r="X292" s="69">
        <f>X291/SUM(T$16:U$16,W$16:X$16)*365</f>
        <v>75.404609324940694</v>
      </c>
      <c r="Y292" s="69">
        <f>Y291/SUM(U$16,W$16:Y$16)*365</f>
        <v>69.0947060217961</v>
      </c>
      <c r="Z292" s="69">
        <f t="shared" si="496"/>
        <v>106.04918011106581</v>
      </c>
      <c r="AA292" s="70">
        <f>Z292</f>
        <v>106.04918011106581</v>
      </c>
      <c r="AB292" s="69">
        <f>AB291/SUM(X16:Z16,AB16)*365</f>
        <v>71.865059937852308</v>
      </c>
      <c r="AC292" s="69">
        <f>AC291/SUM(Y16:Z16,AB16:AC16)*365</f>
        <v>69.130581885527448</v>
      </c>
      <c r="AD292" s="69">
        <f>AD291/SUM(Z16,AB16:AD16)*365</f>
        <v>75.478726232746766</v>
      </c>
      <c r="AE292" s="69">
        <f t="shared" si="496"/>
        <v>99.967348678276039</v>
      </c>
      <c r="AF292" s="70">
        <f>AE292</f>
        <v>99.967348678276039</v>
      </c>
      <c r="AG292" s="69">
        <f>AG291/SUM(AC16:AE16,AG16)*365</f>
        <v>74.50732520711891</v>
      </c>
      <c r="AH292" s="80">
        <f>AC292</f>
        <v>69.130581885527448</v>
      </c>
      <c r="AI292" s="80">
        <f>AD292</f>
        <v>75.478726232746766</v>
      </c>
      <c r="AJ292" s="80">
        <f>AE292</f>
        <v>99.967348678276039</v>
      </c>
      <c r="AK292" s="116">
        <f>AJ292</f>
        <v>99.967348678276039</v>
      </c>
      <c r="AL292" s="72">
        <f>AK292</f>
        <v>99.967348678276039</v>
      </c>
      <c r="AM292" s="72">
        <f>AL292</f>
        <v>99.967348678276039</v>
      </c>
      <c r="AN292" s="72">
        <f t="shared" ref="AN292:AT292" si="497">AM292</f>
        <v>99.967348678276039</v>
      </c>
      <c r="AO292" s="72">
        <f t="shared" si="497"/>
        <v>99.967348678276039</v>
      </c>
      <c r="AP292" s="72">
        <f t="shared" si="497"/>
        <v>99.967348678276039</v>
      </c>
      <c r="AQ292" s="72">
        <f t="shared" si="497"/>
        <v>99.967348678276039</v>
      </c>
      <c r="AR292" s="72">
        <f t="shared" si="497"/>
        <v>99.967348678276039</v>
      </c>
      <c r="AS292" s="72">
        <f t="shared" si="497"/>
        <v>99.967348678276039</v>
      </c>
      <c r="AT292" s="72">
        <f t="shared" si="497"/>
        <v>99.967348678276039</v>
      </c>
      <c r="AU292" s="8" t="s">
        <v>29</v>
      </c>
    </row>
    <row r="293" spans="2:47" ht="7.95" customHeight="1" x14ac:dyDescent="0.3">
      <c r="C293" s="8"/>
      <c r="D293" s="8"/>
      <c r="E293" s="8"/>
      <c r="F293" s="8"/>
      <c r="G293" s="81"/>
      <c r="H293" s="8"/>
      <c r="I293" s="8"/>
      <c r="J293" s="8"/>
      <c r="K293" s="8"/>
      <c r="L293" s="81"/>
      <c r="M293" s="8"/>
      <c r="N293" s="8"/>
      <c r="O293" s="8"/>
      <c r="P293" s="8"/>
      <c r="Q293" s="81"/>
      <c r="R293" s="8"/>
      <c r="S293" s="8"/>
      <c r="T293" s="8"/>
      <c r="U293" s="8"/>
      <c r="V293" s="81"/>
      <c r="W293" s="8"/>
      <c r="X293" s="8"/>
      <c r="Y293" s="8"/>
      <c r="Z293" s="8"/>
      <c r="AA293" s="81"/>
      <c r="AB293" s="8"/>
      <c r="AC293" s="8"/>
      <c r="AD293" s="8"/>
      <c r="AE293" s="8"/>
      <c r="AF293" s="81"/>
      <c r="AG293" s="8"/>
      <c r="AK293" s="103"/>
      <c r="AL293" s="7"/>
      <c r="AM293" s="7"/>
      <c r="AN293" s="7"/>
      <c r="AO293" s="7"/>
      <c r="AP293" s="7"/>
      <c r="AQ293" s="7"/>
      <c r="AR293" s="7"/>
      <c r="AS293" s="7"/>
      <c r="AT293" s="7"/>
      <c r="AU293" s="8" t="s">
        <v>29</v>
      </c>
    </row>
    <row r="294" spans="2:47" ht="16.2" customHeight="1" x14ac:dyDescent="0.3">
      <c r="B294" s="20" t="s">
        <v>174</v>
      </c>
      <c r="C294" s="22">
        <f>C56</f>
        <v>64.084000000000003</v>
      </c>
      <c r="D294" s="22">
        <f>D56</f>
        <v>61.258000000000003</v>
      </c>
      <c r="E294" s="22">
        <f>E56</f>
        <v>77.718000000000004</v>
      </c>
      <c r="F294" s="22">
        <f>F56</f>
        <v>79.900999999999996</v>
      </c>
      <c r="G294" s="23">
        <f>F294</f>
        <v>79.900999999999996</v>
      </c>
      <c r="H294" s="22">
        <f>H56</f>
        <v>115.821</v>
      </c>
      <c r="I294" s="22">
        <f>I56</f>
        <v>133.53800000000001</v>
      </c>
      <c r="J294" s="22">
        <f>J56</f>
        <v>148.202</v>
      </c>
      <c r="K294" s="22">
        <f>K56</f>
        <v>158.63800000000001</v>
      </c>
      <c r="L294" s="23">
        <f>K294</f>
        <v>158.63800000000001</v>
      </c>
      <c r="M294" s="22">
        <f>M56</f>
        <v>197.631</v>
      </c>
      <c r="N294" s="22">
        <f>N56</f>
        <v>207.751</v>
      </c>
      <c r="O294" s="22">
        <f>O56</f>
        <v>212.12899999999999</v>
      </c>
      <c r="P294" s="22">
        <f>P56</f>
        <v>204.46600000000001</v>
      </c>
      <c r="Q294" s="23">
        <f>P294</f>
        <v>204.46600000000001</v>
      </c>
      <c r="R294" s="22">
        <f>R56</f>
        <v>240.17</v>
      </c>
      <c r="S294" s="22">
        <f>S56</f>
        <v>253.857</v>
      </c>
      <c r="T294" s="22">
        <f>T56</f>
        <v>254.42500000000001</v>
      </c>
      <c r="U294" s="22">
        <f>U56</f>
        <v>232.85599999999999</v>
      </c>
      <c r="V294" s="23">
        <f>U294</f>
        <v>232.85599999999999</v>
      </c>
      <c r="W294" s="22">
        <f>W56</f>
        <v>253.506</v>
      </c>
      <c r="X294" s="22">
        <f>X56</f>
        <v>260.53699999999998</v>
      </c>
      <c r="Y294" s="22">
        <f>Y56</f>
        <v>296.40199999999999</v>
      </c>
      <c r="Z294" s="22">
        <f>Z56</f>
        <v>289.39600000000002</v>
      </c>
      <c r="AA294" s="23">
        <f>Z294</f>
        <v>289.39600000000002</v>
      </c>
      <c r="AB294" s="22">
        <f>AB56</f>
        <v>328.488</v>
      </c>
      <c r="AC294" s="22">
        <f>AC56</f>
        <v>337.28699999999998</v>
      </c>
      <c r="AD294" s="22">
        <f>AD56</f>
        <v>354.76400000000001</v>
      </c>
      <c r="AE294" s="22">
        <f>AE56</f>
        <v>336.93599999999998</v>
      </c>
      <c r="AF294" s="23">
        <f>AE294</f>
        <v>336.93599999999998</v>
      </c>
      <c r="AG294" s="22">
        <f>AG56</f>
        <v>384.20499999999998</v>
      </c>
      <c r="AH294" s="22">
        <f>AH295*SUM(AD16:AE16,AG16:AH16)/365</f>
        <v>399.07916323423854</v>
      </c>
      <c r="AI294" s="22">
        <f>AI295*SUM(AE16,AG16:AI16)/365</f>
        <v>395.0612014628345</v>
      </c>
      <c r="AJ294" s="22">
        <f t="shared" ref="AJ294" si="498">AJ295*SUM(AG$16:AJ$16)/365</f>
        <v>371.62173047433816</v>
      </c>
      <c r="AK294" s="105">
        <f>AJ294</f>
        <v>371.62173047433816</v>
      </c>
      <c r="AL294" s="23">
        <f t="shared" ref="AL294:AT294" si="499">AL295*AL16/365</f>
        <v>424.04611712644953</v>
      </c>
      <c r="AM294" s="23">
        <f t="shared" si="499"/>
        <v>482.29704051585168</v>
      </c>
      <c r="AN294" s="23">
        <f t="shared" si="499"/>
        <v>545.03452797270597</v>
      </c>
      <c r="AO294" s="23">
        <f t="shared" si="499"/>
        <v>612.54543004407265</v>
      </c>
      <c r="AP294" s="23">
        <f t="shared" si="499"/>
        <v>685.13328565693519</v>
      </c>
      <c r="AQ294" s="23">
        <f t="shared" si="499"/>
        <v>763.1192408520119</v>
      </c>
      <c r="AR294" s="23">
        <f t="shared" si="499"/>
        <v>846.84301648768292</v>
      </c>
      <c r="AS294" s="23">
        <f t="shared" si="499"/>
        <v>936.66392748589249</v>
      </c>
      <c r="AT294" s="23">
        <f t="shared" si="499"/>
        <v>1032.961956327244</v>
      </c>
      <c r="AU294" s="8" t="s">
        <v>29</v>
      </c>
    </row>
    <row r="295" spans="2:47" ht="16.2" customHeight="1" x14ac:dyDescent="0.3">
      <c r="B295" s="24" t="s">
        <v>173</v>
      </c>
      <c r="C295" s="8"/>
      <c r="D295" s="8"/>
      <c r="E295" s="8"/>
      <c r="F295" s="69">
        <f>F294/SUM(C$16:F$16)*365</f>
        <v>109.09739750437429</v>
      </c>
      <c r="G295" s="70">
        <f>F295</f>
        <v>109.09739750437429</v>
      </c>
      <c r="H295" s="69">
        <f>H294/SUM(D$16:F$16,H$16)*365</f>
        <v>153.78279773038508</v>
      </c>
      <c r="I295" s="69">
        <f>I294/SUM(E$16:F$16,H$16:I$16)*365</f>
        <v>140.90989219600394</v>
      </c>
      <c r="J295" s="69">
        <f>J294/SUM(F$16,H$16:J$16)*365</f>
        <v>133.75713022060697</v>
      </c>
      <c r="K295" s="69">
        <f t="shared" ref="K295:AE295" si="500">K294/SUM(H$16:K$16)*365</f>
        <v>133.23505893506629</v>
      </c>
      <c r="L295" s="70">
        <f>K295</f>
        <v>133.23505893506629</v>
      </c>
      <c r="M295" s="69">
        <f>M294/SUM(I$16:K$16,M$16)*365</f>
        <v>149.22401851198779</v>
      </c>
      <c r="N295" s="69">
        <f>N294/SUM(J$16:K$16,M$16:N$16)*365</f>
        <v>145.7112177086847</v>
      </c>
      <c r="O295" s="69">
        <f>O294/SUM(K$16,M$16:O$16)*365</f>
        <v>145.05624962655088</v>
      </c>
      <c r="P295" s="69">
        <f t="shared" si="500"/>
        <v>131.52391677505085</v>
      </c>
      <c r="Q295" s="70">
        <f>P295</f>
        <v>131.52391677505085</v>
      </c>
      <c r="R295" s="69">
        <f>R294/SUM(N$16:P$16,R$16)*365</f>
        <v>146.93802464665967</v>
      </c>
      <c r="S295" s="69">
        <f>S294/SUM(O$16:P$16,R$16:S$16)*365</f>
        <v>149.2255849835376</v>
      </c>
      <c r="T295" s="69">
        <f>T294/SUM(P$16,R$16:T$16)*365</f>
        <v>143.51965263888215</v>
      </c>
      <c r="U295" s="69">
        <f t="shared" si="500"/>
        <v>124.31427401449427</v>
      </c>
      <c r="V295" s="70">
        <f>U295</f>
        <v>124.31427401449427</v>
      </c>
      <c r="W295" s="69">
        <f>W294/SUM(S$16:U$16,W$16)*365</f>
        <v>131.40974506441071</v>
      </c>
      <c r="X295" s="69">
        <f>X294/SUM(T$16:U$16,W$16:X$16)*365</f>
        <v>128.44602252837265</v>
      </c>
      <c r="Y295" s="69">
        <f>Y294/SUM(U$16,W$16:Y$16)*365</f>
        <v>138.62717912905313</v>
      </c>
      <c r="Z295" s="69">
        <f t="shared" si="500"/>
        <v>126.99536764856167</v>
      </c>
      <c r="AA295" s="70">
        <f>Z295</f>
        <v>126.99536764856167</v>
      </c>
      <c r="AB295" s="69">
        <f>AB294/SUM(X16:Z16,AB16)*365</f>
        <v>135.87513344076589</v>
      </c>
      <c r="AC295" s="69">
        <f>AC294/SUM(Y16:Z16,AB16:AC16)*365</f>
        <v>132.02076025492678</v>
      </c>
      <c r="AD295" s="69">
        <f>AD294/SUM(Z16,AB16:AD16)*365</f>
        <v>129.9179790849175</v>
      </c>
      <c r="AE295" s="69">
        <f t="shared" si="500"/>
        <v>117.51574754995642</v>
      </c>
      <c r="AF295" s="70">
        <f>AE295</f>
        <v>117.51574754995642</v>
      </c>
      <c r="AG295" s="69">
        <f>AG294/SUM(AC16:AE16,AG16)*365</f>
        <v>129.26250640621484</v>
      </c>
      <c r="AH295" s="80">
        <f>AC295</f>
        <v>132.02076025492678</v>
      </c>
      <c r="AI295" s="80">
        <f t="shared" ref="AI295:AJ295" si="501">AD295</f>
        <v>129.9179790849175</v>
      </c>
      <c r="AJ295" s="80">
        <f t="shared" si="501"/>
        <v>117.51574754995642</v>
      </c>
      <c r="AK295" s="116">
        <f>AJ295</f>
        <v>117.51574754995642</v>
      </c>
      <c r="AL295" s="72">
        <f>AK295</f>
        <v>117.51574754995642</v>
      </c>
      <c r="AM295" s="72">
        <f>AL295</f>
        <v>117.51574754995642</v>
      </c>
      <c r="AN295" s="72">
        <f t="shared" ref="AN295:AT295" si="502">AM295</f>
        <v>117.51574754995642</v>
      </c>
      <c r="AO295" s="72">
        <f t="shared" si="502"/>
        <v>117.51574754995642</v>
      </c>
      <c r="AP295" s="72">
        <f t="shared" si="502"/>
        <v>117.51574754995642</v>
      </c>
      <c r="AQ295" s="72">
        <f t="shared" si="502"/>
        <v>117.51574754995642</v>
      </c>
      <c r="AR295" s="72">
        <f t="shared" si="502"/>
        <v>117.51574754995642</v>
      </c>
      <c r="AS295" s="72">
        <f t="shared" si="502"/>
        <v>117.51574754995642</v>
      </c>
      <c r="AT295" s="72">
        <f t="shared" si="502"/>
        <v>117.51574754995642</v>
      </c>
      <c r="AU295" s="8" t="s">
        <v>29</v>
      </c>
    </row>
    <row r="296" spans="2:47" ht="7.95" customHeight="1" x14ac:dyDescent="0.3">
      <c r="C296" s="8"/>
      <c r="D296" s="8"/>
      <c r="E296" s="8"/>
      <c r="F296" s="8"/>
      <c r="G296" s="81"/>
      <c r="H296" s="8"/>
      <c r="I296" s="8"/>
      <c r="J296" s="8"/>
      <c r="K296" s="8"/>
      <c r="L296" s="81"/>
      <c r="M296" s="8"/>
      <c r="N296" s="8"/>
      <c r="O296" s="8"/>
      <c r="P296" s="8"/>
      <c r="Q296" s="81"/>
      <c r="R296" s="8"/>
      <c r="S296" s="8"/>
      <c r="T296" s="8"/>
      <c r="U296" s="8"/>
      <c r="V296" s="81"/>
      <c r="W296" s="8"/>
      <c r="X296" s="8"/>
      <c r="Y296" s="8"/>
      <c r="Z296" s="8"/>
      <c r="AA296" s="81"/>
      <c r="AB296" s="8"/>
      <c r="AC296" s="8"/>
      <c r="AD296" s="8"/>
      <c r="AE296" s="8"/>
      <c r="AF296" s="81"/>
      <c r="AG296" s="8"/>
      <c r="AK296" s="103"/>
      <c r="AL296" s="7"/>
      <c r="AM296" s="7"/>
      <c r="AN296" s="7"/>
      <c r="AO296" s="7"/>
      <c r="AP296" s="7"/>
      <c r="AQ296" s="7"/>
      <c r="AR296" s="7"/>
      <c r="AS296" s="7"/>
      <c r="AT296" s="7"/>
      <c r="AU296" s="8" t="s">
        <v>29</v>
      </c>
    </row>
    <row r="297" spans="2:47" ht="16.2" customHeight="1" x14ac:dyDescent="0.3">
      <c r="B297" s="20" t="s">
        <v>175</v>
      </c>
      <c r="C297" s="22">
        <f>C70+C79</f>
        <v>22.198</v>
      </c>
      <c r="D297" s="22">
        <f>D70+D79</f>
        <v>12.382</v>
      </c>
      <c r="E297" s="22">
        <f>E70+E79</f>
        <v>29.922999999999998</v>
      </c>
      <c r="F297" s="22">
        <f>F70+F79</f>
        <v>36.250999999999998</v>
      </c>
      <c r="G297" s="23">
        <f>F297</f>
        <v>36.250999999999998</v>
      </c>
      <c r="H297" s="22">
        <f>H70+H79</f>
        <v>38.613</v>
      </c>
      <c r="I297" s="22">
        <f>I70+I79</f>
        <v>32.984999999999999</v>
      </c>
      <c r="J297" s="22">
        <f>J70+J79</f>
        <v>37.235999999999997</v>
      </c>
      <c r="K297" s="22">
        <f>K70+K79</f>
        <v>41.408999999999999</v>
      </c>
      <c r="L297" s="23">
        <f>K297</f>
        <v>41.408999999999999</v>
      </c>
      <c r="M297" s="22">
        <f>M70+M79</f>
        <v>46.101999999999997</v>
      </c>
      <c r="N297" s="22">
        <f>N70+N79</f>
        <v>53.235999999999997</v>
      </c>
      <c r="O297" s="22">
        <f>O70+O79</f>
        <v>40.438000000000002</v>
      </c>
      <c r="P297" s="22">
        <f>P70+P79</f>
        <v>61.921999999999997</v>
      </c>
      <c r="Q297" s="23">
        <f>P297</f>
        <v>61.921999999999997</v>
      </c>
      <c r="R297" s="22">
        <f>R70+R79</f>
        <v>60.614999999999995</v>
      </c>
      <c r="S297" s="22">
        <f>S70+S79</f>
        <v>56.722999999999999</v>
      </c>
      <c r="T297" s="22">
        <f>T70+T79</f>
        <v>48.594999999999999</v>
      </c>
      <c r="U297" s="22">
        <f>U70+U79</f>
        <v>59.491999999999997</v>
      </c>
      <c r="V297" s="23">
        <f>U297</f>
        <v>59.491999999999997</v>
      </c>
      <c r="W297" s="22">
        <f>W70+W79</f>
        <v>64.033000000000001</v>
      </c>
      <c r="X297" s="22">
        <f>X70+X79</f>
        <v>69.998000000000005</v>
      </c>
      <c r="Y297" s="22">
        <f>Y70+Y79</f>
        <v>73.099999999999994</v>
      </c>
      <c r="Z297" s="22">
        <f>Z70+Z79</f>
        <v>81.346999999999994</v>
      </c>
      <c r="AA297" s="23">
        <f>Z297</f>
        <v>81.346999999999994</v>
      </c>
      <c r="AB297" s="22">
        <f>AB70+AB79</f>
        <v>75.78</v>
      </c>
      <c r="AC297" s="22">
        <f>AC70+AC79</f>
        <v>73.772999999999996</v>
      </c>
      <c r="AD297" s="22">
        <f>AD70+AD79</f>
        <v>90.144999999999996</v>
      </c>
      <c r="AE297" s="22">
        <f>AE70+AE79</f>
        <v>88.096999999999994</v>
      </c>
      <c r="AF297" s="23">
        <f>AE297</f>
        <v>88.096999999999994</v>
      </c>
      <c r="AG297" s="22">
        <f>AG70+AG79</f>
        <v>80.474999999999994</v>
      </c>
      <c r="AH297" s="22">
        <f>AH298*SUM(AD16:AE16,AG16:AH16)/365</f>
        <v>87.288472752520761</v>
      </c>
      <c r="AI297" s="22">
        <f>AI298*SUM(AE16,AG16:AI16)/365</f>
        <v>100.38445841705246</v>
      </c>
      <c r="AJ297" s="22">
        <f t="shared" ref="AJ297" si="503">AJ298*SUM(AG$16:AJ$16)/365</f>
        <v>97.166107479158555</v>
      </c>
      <c r="AK297" s="105">
        <f>AJ297</f>
        <v>97.166107479158555</v>
      </c>
      <c r="AL297" s="23">
        <f t="shared" ref="AL297:AT297" si="504">AL298*AL16/365</f>
        <v>110.87325420996517</v>
      </c>
      <c r="AM297" s="23">
        <f t="shared" si="504"/>
        <v>126.10383686612586</v>
      </c>
      <c r="AN297" s="23">
        <f t="shared" si="504"/>
        <v>142.50749937914466</v>
      </c>
      <c r="AO297" s="23">
        <f t="shared" si="504"/>
        <v>160.15924315179342</v>
      </c>
      <c r="AP297" s="23">
        <f t="shared" si="504"/>
        <v>179.13843301552524</v>
      </c>
      <c r="AQ297" s="23">
        <f t="shared" si="504"/>
        <v>199.52903744728877</v>
      </c>
      <c r="AR297" s="23">
        <f t="shared" si="504"/>
        <v>221.41988159031806</v>
      </c>
      <c r="AS297" s="23">
        <f t="shared" si="504"/>
        <v>244.90491375134943</v>
      </c>
      <c r="AT297" s="23">
        <f t="shared" si="504"/>
        <v>270.08348608210827</v>
      </c>
      <c r="AU297" s="8" t="s">
        <v>29</v>
      </c>
    </row>
    <row r="298" spans="2:47" ht="16.2" customHeight="1" x14ac:dyDescent="0.3">
      <c r="B298" s="24" t="s">
        <v>173</v>
      </c>
      <c r="C298" s="8"/>
      <c r="D298" s="8"/>
      <c r="E298" s="8"/>
      <c r="F298" s="69">
        <f>F297/SUM(C$16:F$16)*365</f>
        <v>49.497374963155302</v>
      </c>
      <c r="G298" s="70">
        <f>F298</f>
        <v>49.497374963155302</v>
      </c>
      <c r="H298" s="69">
        <f>H297/SUM(D$16:F$16,H$16)*365</f>
        <v>51.268899152686984</v>
      </c>
      <c r="I298" s="69">
        <f>I297/SUM(E$16:F$16,H$16:I$16)*365</f>
        <v>34.805918870173208</v>
      </c>
      <c r="J298" s="69">
        <f>J297/SUM(F$16,H$16:J$16)*365</f>
        <v>33.606702344735709</v>
      </c>
      <c r="K298" s="69">
        <f t="shared" ref="K298:AE298" si="505">K297/SUM(H$16:K$16)*365</f>
        <v>34.77811467266455</v>
      </c>
      <c r="L298" s="70">
        <f>K298</f>
        <v>34.77811467266455</v>
      </c>
      <c r="M298" s="69">
        <f>M297/SUM(I$16:K$16,M$16)*365</f>
        <v>34.809952393296903</v>
      </c>
      <c r="N298" s="69">
        <f>N297/SUM(J$16:K$16,M$16:N$16)*365</f>
        <v>37.338363646574685</v>
      </c>
      <c r="O298" s="69">
        <f>O297/SUM(K$16,M$16:O$16)*365</f>
        <v>27.651969426143832</v>
      </c>
      <c r="P298" s="69">
        <f t="shared" si="505"/>
        <v>39.831678491997188</v>
      </c>
      <c r="Q298" s="70">
        <f>P298</f>
        <v>39.831678491997188</v>
      </c>
      <c r="R298" s="69">
        <f>R297/SUM(N$16:P$16,R$16)*365</f>
        <v>37.084766473569864</v>
      </c>
      <c r="S298" s="69">
        <f>S297/SUM(O$16:P$16,R$16:S$16)*365</f>
        <v>33.343665358927289</v>
      </c>
      <c r="T298" s="69">
        <f>T297/SUM(P$16,R$16:T$16)*365</f>
        <v>27.412154937551254</v>
      </c>
      <c r="U298" s="69">
        <f t="shared" si="505"/>
        <v>31.760851297240752</v>
      </c>
      <c r="V298" s="70">
        <f>U298</f>
        <v>31.760851297240752</v>
      </c>
      <c r="W298" s="69">
        <f>W297/SUM(S$16:U$16,W$16)*365</f>
        <v>33.19274575635059</v>
      </c>
      <c r="X298" s="69">
        <f>X297/SUM(T$16:U$16,W$16:X$16)*365</f>
        <v>34.509358305887574</v>
      </c>
      <c r="Y298" s="69">
        <f>Y297/SUM(U$16,W$16:Y$16)*365</f>
        <v>34.188861054695259</v>
      </c>
      <c r="Z298" s="69">
        <f t="shared" si="505"/>
        <v>35.697425576398928</v>
      </c>
      <c r="AA298" s="70">
        <f>Z298</f>
        <v>35.697425576398928</v>
      </c>
      <c r="AB298" s="69">
        <f>AB297/SUM(X16:Z16,AB16)*365</f>
        <v>31.345490892030273</v>
      </c>
      <c r="AC298" s="69">
        <f>AC297/SUM(Y16:Z16,AB16:AC16)*365</f>
        <v>28.876202006856808</v>
      </c>
      <c r="AD298" s="69">
        <f>AD297/SUM(Z16,AB16:AD16)*365</f>
        <v>33.011963515491665</v>
      </c>
      <c r="AE298" s="69">
        <f t="shared" si="505"/>
        <v>30.726264963994677</v>
      </c>
      <c r="AF298" s="70">
        <f>AE298</f>
        <v>30.726264963994677</v>
      </c>
      <c r="AG298" s="69">
        <f>AG297/SUM(AC16:AE16,AG16)*365</f>
        <v>27.075129691284964</v>
      </c>
      <c r="AH298" s="80">
        <f>AC298</f>
        <v>28.876202006856808</v>
      </c>
      <c r="AI298" s="80">
        <f t="shared" ref="AI298:AJ298" si="506">AD298</f>
        <v>33.011963515491665</v>
      </c>
      <c r="AJ298" s="80">
        <f t="shared" si="506"/>
        <v>30.726264963994677</v>
      </c>
      <c r="AK298" s="116">
        <f>AJ298</f>
        <v>30.726264963994677</v>
      </c>
      <c r="AL298" s="72">
        <f>AK298</f>
        <v>30.726264963994677</v>
      </c>
      <c r="AM298" s="72">
        <f>AL298</f>
        <v>30.726264963994677</v>
      </c>
      <c r="AN298" s="72">
        <f t="shared" ref="AN298:AT298" si="507">AM298</f>
        <v>30.726264963994677</v>
      </c>
      <c r="AO298" s="72">
        <f t="shared" si="507"/>
        <v>30.726264963994677</v>
      </c>
      <c r="AP298" s="72">
        <f t="shared" si="507"/>
        <v>30.726264963994677</v>
      </c>
      <c r="AQ298" s="72">
        <f t="shared" si="507"/>
        <v>30.726264963994677</v>
      </c>
      <c r="AR298" s="72">
        <f t="shared" si="507"/>
        <v>30.726264963994677</v>
      </c>
      <c r="AS298" s="72">
        <f t="shared" si="507"/>
        <v>30.726264963994677</v>
      </c>
      <c r="AT298" s="72">
        <f t="shared" si="507"/>
        <v>30.726264963994677</v>
      </c>
      <c r="AU298" s="8" t="s">
        <v>29</v>
      </c>
    </row>
    <row r="299" spans="2:47" ht="7.95" customHeight="1" x14ac:dyDescent="0.3">
      <c r="C299" s="8"/>
      <c r="D299" s="8"/>
      <c r="E299" s="8"/>
      <c r="F299" s="8"/>
      <c r="G299" s="81"/>
      <c r="H299" s="8"/>
      <c r="I299" s="8"/>
      <c r="J299" s="8"/>
      <c r="K299" s="8"/>
      <c r="L299" s="81"/>
      <c r="M299" s="8"/>
      <c r="N299" s="8"/>
      <c r="O299" s="8"/>
      <c r="P299" s="8"/>
      <c r="Q299" s="81"/>
      <c r="R299" s="8"/>
      <c r="S299" s="8"/>
      <c r="T299" s="8"/>
      <c r="U299" s="8"/>
      <c r="V299" s="81"/>
      <c r="W299" s="8"/>
      <c r="X299" s="8"/>
      <c r="Y299" s="8"/>
      <c r="Z299" s="8"/>
      <c r="AA299" s="81"/>
      <c r="AB299" s="8"/>
      <c r="AC299" s="8"/>
      <c r="AD299" s="8"/>
      <c r="AE299" s="8"/>
      <c r="AF299" s="81"/>
      <c r="AG299" s="8"/>
      <c r="AK299" s="103"/>
      <c r="AL299" s="7"/>
      <c r="AM299" s="7"/>
      <c r="AN299" s="7"/>
      <c r="AO299" s="7"/>
      <c r="AP299" s="7"/>
      <c r="AQ299" s="7"/>
      <c r="AR299" s="7"/>
      <c r="AS299" s="7"/>
      <c r="AT299" s="7"/>
      <c r="AU299" s="8" t="s">
        <v>29</v>
      </c>
    </row>
    <row r="300" spans="2:47" ht="16.2" customHeight="1" x14ac:dyDescent="0.3">
      <c r="B300" s="20" t="s">
        <v>176</v>
      </c>
      <c r="C300" s="22">
        <f>C73</f>
        <v>12.465</v>
      </c>
      <c r="D300" s="22">
        <f>D73</f>
        <v>12.659000000000001</v>
      </c>
      <c r="E300" s="22">
        <f>E73</f>
        <v>13.996</v>
      </c>
      <c r="F300" s="22">
        <f>F73</f>
        <v>12.826000000000001</v>
      </c>
      <c r="G300" s="23">
        <f>F300</f>
        <v>12.826000000000001</v>
      </c>
      <c r="H300" s="22">
        <f>H73</f>
        <v>10.292</v>
      </c>
      <c r="I300" s="22">
        <f>I73</f>
        <v>13.298999999999999</v>
      </c>
      <c r="J300" s="22">
        <f>J73</f>
        <v>17.765000000000001</v>
      </c>
      <c r="K300" s="22">
        <f>K73</f>
        <v>22.283999999999999</v>
      </c>
      <c r="L300" s="23">
        <f>K300</f>
        <v>22.283999999999999</v>
      </c>
      <c r="M300" s="22">
        <f>M73</f>
        <v>17.623999999999999</v>
      </c>
      <c r="N300" s="22">
        <f>N73</f>
        <v>19.428999999999998</v>
      </c>
      <c r="O300" s="22">
        <f>O73</f>
        <v>23.274000000000001</v>
      </c>
      <c r="P300" s="22">
        <f>P73</f>
        <v>27.388000000000002</v>
      </c>
      <c r="Q300" s="23">
        <f>P300</f>
        <v>27.388000000000002</v>
      </c>
      <c r="R300" s="22">
        <f>R73</f>
        <v>23.164999999999999</v>
      </c>
      <c r="S300" s="22">
        <f>S73</f>
        <v>24.742999999999999</v>
      </c>
      <c r="T300" s="22">
        <f>T73</f>
        <v>29.696000000000002</v>
      </c>
      <c r="U300" s="22">
        <f>U73</f>
        <v>34.652000000000001</v>
      </c>
      <c r="V300" s="23">
        <f>U300</f>
        <v>34.652000000000001</v>
      </c>
      <c r="W300" s="22">
        <f>W73</f>
        <v>32.213999999999999</v>
      </c>
      <c r="X300" s="22">
        <f>X73</f>
        <v>29.14</v>
      </c>
      <c r="Y300" s="22">
        <f>Y73</f>
        <v>34.768000000000001</v>
      </c>
      <c r="Z300" s="22">
        <f>Z73</f>
        <v>40.598999999999997</v>
      </c>
      <c r="AA300" s="23">
        <f>Z300</f>
        <v>40.598999999999997</v>
      </c>
      <c r="AB300" s="22">
        <f>AB73</f>
        <v>40.606999999999999</v>
      </c>
      <c r="AC300" s="22">
        <f>AC73</f>
        <v>35.665999999999997</v>
      </c>
      <c r="AD300" s="22">
        <f>AD73</f>
        <v>44.505000000000003</v>
      </c>
      <c r="AE300" s="22">
        <f>AE73</f>
        <v>53.762999999999998</v>
      </c>
      <c r="AF300" s="23">
        <f>AE300</f>
        <v>53.762999999999998</v>
      </c>
      <c r="AG300" s="22">
        <f>AG73</f>
        <v>53.737000000000002</v>
      </c>
      <c r="AH300" s="22">
        <f>AH301*SUM(AD16:AE16,AG16:AH16)/365</f>
        <v>42.200136488842887</v>
      </c>
      <c r="AI300" s="22">
        <f>AI301*SUM(AE16,AG16:AI16)/365</f>
        <v>49.560267589449445</v>
      </c>
      <c r="AJ300" s="22">
        <f t="shared" ref="AJ300" si="508">AJ301*SUM(AG$16:AJ$16)/365</f>
        <v>59.297608731307562</v>
      </c>
      <c r="AK300" s="105">
        <f>AJ300</f>
        <v>59.297608731307562</v>
      </c>
      <c r="AL300" s="23">
        <f t="shared" ref="AL300:AT300" si="509">AL301*AL16/365</f>
        <v>67.6626759831817</v>
      </c>
      <c r="AM300" s="23">
        <f t="shared" si="509"/>
        <v>76.957451234815323</v>
      </c>
      <c r="AN300" s="23">
        <f t="shared" si="509"/>
        <v>86.968122514057868</v>
      </c>
      <c r="AO300" s="23">
        <f t="shared" si="509"/>
        <v>97.740460964276537</v>
      </c>
      <c r="AP300" s="23">
        <f t="shared" si="509"/>
        <v>109.32290060062982</v>
      </c>
      <c r="AQ300" s="23">
        <f t="shared" si="509"/>
        <v>121.76668490730204</v>
      </c>
      <c r="AR300" s="23">
        <f t="shared" si="509"/>
        <v>135.12602124862676</v>
      </c>
      <c r="AS300" s="23">
        <f t="shared" si="509"/>
        <v>149.45824350447577</v>
      </c>
      <c r="AT300" s="23">
        <f t="shared" si="509"/>
        <v>164.82398336188959</v>
      </c>
      <c r="AU300" s="8" t="s">
        <v>29</v>
      </c>
    </row>
    <row r="301" spans="2:47" ht="16.2" customHeight="1" x14ac:dyDescent="0.3">
      <c r="B301" s="24" t="s">
        <v>173</v>
      </c>
      <c r="C301" s="8"/>
      <c r="D301" s="8"/>
      <c r="E301" s="8"/>
      <c r="F301" s="69">
        <f>F300/SUM(C$16:F$16)*365</f>
        <v>17.512712236281207</v>
      </c>
      <c r="G301" s="70">
        <f>F301</f>
        <v>17.512712236281207</v>
      </c>
      <c r="H301" s="69">
        <f>H300/SUM(D$16:F$16,H$16)*365</f>
        <v>13.665333180002964</v>
      </c>
      <c r="I301" s="69">
        <f>I300/SUM(E$16:F$16,H$16:I$16)*365</f>
        <v>14.033164015595981</v>
      </c>
      <c r="J301" s="69">
        <f>J300/SUM(F$16,H$16:J$16)*365</f>
        <v>16.033490900049141</v>
      </c>
      <c r="K301" s="69">
        <f t="shared" ref="K301:AE301" si="510">K300/SUM(H$16:K$16)*365</f>
        <v>18.715629630410223</v>
      </c>
      <c r="L301" s="70">
        <f>K301</f>
        <v>18.715629630410223</v>
      </c>
      <c r="M301" s="69">
        <f>M300/SUM(I$16:K$16,M$16)*365</f>
        <v>13.307244826243215</v>
      </c>
      <c r="N301" s="69">
        <f>N300/SUM(J$16:K$16,M$16:N$16)*365</f>
        <v>13.62700178994101</v>
      </c>
      <c r="O301" s="69">
        <f>O300/SUM(K$16,M$16:O$16)*365</f>
        <v>15.915028844751758</v>
      </c>
      <c r="P301" s="69">
        <f t="shared" si="510"/>
        <v>17.617486685488505</v>
      </c>
      <c r="Q301" s="70">
        <f>P301</f>
        <v>17.617486685488505</v>
      </c>
      <c r="R301" s="69">
        <f>R300/SUM(N$16:P$16,R$16)*365</f>
        <v>14.172541703542787</v>
      </c>
      <c r="S301" s="69">
        <f>S300/SUM(O$16:P$16,R$16:S$16)*365</f>
        <v>14.544758069494522</v>
      </c>
      <c r="T301" s="69">
        <f>T300/SUM(P$16,R$16:T$16)*365</f>
        <v>16.751339706256243</v>
      </c>
      <c r="U301" s="69">
        <f t="shared" si="510"/>
        <v>18.499580097357402</v>
      </c>
      <c r="V301" s="70">
        <f>U301</f>
        <v>18.499580097357402</v>
      </c>
      <c r="W301" s="69">
        <f>W300/SUM(S$16:U$16,W$16)*365</f>
        <v>16.698750828402193</v>
      </c>
      <c r="X301" s="69">
        <f>X300/SUM(T$16:U$16,W$16:X$16)*365</f>
        <v>14.366163333717591</v>
      </c>
      <c r="Y301" s="69">
        <f>Y300/SUM(U$16,W$16:Y$16)*365</f>
        <v>16.260989345412376</v>
      </c>
      <c r="Z301" s="69">
        <f t="shared" si="510"/>
        <v>17.816020025031285</v>
      </c>
      <c r="AA301" s="70">
        <f>Z301</f>
        <v>17.816020025031285</v>
      </c>
      <c r="AB301" s="69">
        <f>AB300/SUM(X16:Z16,AB16)*365</f>
        <v>16.796600008612739</v>
      </c>
      <c r="AC301" s="69">
        <f>AC300/SUM(Y16:Z16,AB16:AC16)*365</f>
        <v>13.960373317833829</v>
      </c>
      <c r="AD301" s="69">
        <f>AD300/SUM(Z16,AB16:AD16)*365</f>
        <v>16.298157815263817</v>
      </c>
      <c r="AE301" s="69">
        <f t="shared" si="510"/>
        <v>18.751332999526046</v>
      </c>
      <c r="AF301" s="70">
        <f>AE301</f>
        <v>18.751332999526046</v>
      </c>
      <c r="AG301" s="69">
        <f>AG300/SUM(AC16:AE16,AG16)*365</f>
        <v>18.079356871333708</v>
      </c>
      <c r="AH301" s="80">
        <f>AC301</f>
        <v>13.960373317833829</v>
      </c>
      <c r="AI301" s="80">
        <f t="shared" ref="AI301:AJ301" si="511">AD301</f>
        <v>16.298157815263817</v>
      </c>
      <c r="AJ301" s="80">
        <f t="shared" si="511"/>
        <v>18.751332999526046</v>
      </c>
      <c r="AK301" s="116">
        <f>AJ301</f>
        <v>18.751332999526046</v>
      </c>
      <c r="AL301" s="72">
        <f>AK301</f>
        <v>18.751332999526046</v>
      </c>
      <c r="AM301" s="72">
        <f>AL301</f>
        <v>18.751332999526046</v>
      </c>
      <c r="AN301" s="72">
        <f t="shared" ref="AN301:AT301" si="512">AM301</f>
        <v>18.751332999526046</v>
      </c>
      <c r="AO301" s="72">
        <f t="shared" si="512"/>
        <v>18.751332999526046</v>
      </c>
      <c r="AP301" s="72">
        <f t="shared" si="512"/>
        <v>18.751332999526046</v>
      </c>
      <c r="AQ301" s="72">
        <f t="shared" si="512"/>
        <v>18.751332999526046</v>
      </c>
      <c r="AR301" s="72">
        <f t="shared" si="512"/>
        <v>18.751332999526046</v>
      </c>
      <c r="AS301" s="72">
        <f t="shared" si="512"/>
        <v>18.751332999526046</v>
      </c>
      <c r="AT301" s="72">
        <f t="shared" si="512"/>
        <v>18.751332999526046</v>
      </c>
      <c r="AU301" s="8" t="s">
        <v>29</v>
      </c>
    </row>
    <row r="302" spans="2:47" ht="7.95" customHeight="1" x14ac:dyDescent="0.3">
      <c r="C302" s="8"/>
      <c r="D302" s="8"/>
      <c r="E302" s="8"/>
      <c r="F302" s="8"/>
      <c r="G302" s="81"/>
      <c r="H302" s="8"/>
      <c r="I302" s="8"/>
      <c r="J302" s="8"/>
      <c r="K302" s="8"/>
      <c r="L302" s="81"/>
      <c r="M302" s="8"/>
      <c r="N302" s="8"/>
      <c r="O302" s="8"/>
      <c r="P302" s="8"/>
      <c r="Q302" s="81"/>
      <c r="R302" s="8"/>
      <c r="S302" s="8"/>
      <c r="T302" s="8"/>
      <c r="U302" s="8"/>
      <c r="V302" s="81"/>
      <c r="W302" s="8"/>
      <c r="X302" s="8"/>
      <c r="Y302" s="8"/>
      <c r="Z302" s="8"/>
      <c r="AA302" s="81"/>
      <c r="AB302" s="8"/>
      <c r="AC302" s="8"/>
      <c r="AD302" s="8"/>
      <c r="AE302" s="8"/>
      <c r="AF302" s="81"/>
      <c r="AG302" s="8"/>
      <c r="AK302" s="103"/>
      <c r="AL302" s="7"/>
      <c r="AM302" s="7"/>
      <c r="AN302" s="7"/>
      <c r="AO302" s="7"/>
      <c r="AP302" s="7"/>
      <c r="AQ302" s="7"/>
      <c r="AR302" s="7"/>
      <c r="AS302" s="7"/>
      <c r="AT302" s="7"/>
      <c r="AU302" s="8" t="s">
        <v>29</v>
      </c>
    </row>
    <row r="303" spans="2:47" ht="16.2" customHeight="1" x14ac:dyDescent="0.3">
      <c r="B303" s="20" t="s">
        <v>177</v>
      </c>
      <c r="C303" s="22">
        <f>C77</f>
        <v>14.983000000000001</v>
      </c>
      <c r="D303" s="22">
        <f>D77</f>
        <v>15.59</v>
      </c>
      <c r="E303" s="22">
        <f>E77</f>
        <v>15.638999999999999</v>
      </c>
      <c r="F303" s="22">
        <f>F77</f>
        <v>19.386200000000002</v>
      </c>
      <c r="G303" s="23">
        <f>F303</f>
        <v>19.386200000000002</v>
      </c>
      <c r="H303" s="22">
        <f>H77</f>
        <v>17.622466622400001</v>
      </c>
      <c r="I303" s="22">
        <f>I77</f>
        <v>18.350111762400001</v>
      </c>
      <c r="J303" s="22">
        <f>J77</f>
        <v>18.9965169024</v>
      </c>
      <c r="K303" s="22">
        <f>K77</f>
        <v>21.515512962399999</v>
      </c>
      <c r="L303" s="23">
        <f>K303</f>
        <v>21.515512962399999</v>
      </c>
      <c r="M303" s="22">
        <f>M77</f>
        <v>18.6973602224</v>
      </c>
      <c r="N303" s="22">
        <f>N77</f>
        <v>17.392086082399999</v>
      </c>
      <c r="O303" s="22">
        <f>O77</f>
        <v>13.6538006024</v>
      </c>
      <c r="P303" s="22">
        <f>P77</f>
        <v>9.0695042023999992</v>
      </c>
      <c r="Q303" s="23">
        <f>P303</f>
        <v>9.0695042023999992</v>
      </c>
      <c r="R303" s="22">
        <f>R77</f>
        <v>18.064019482399999</v>
      </c>
      <c r="S303" s="22">
        <f>S77</f>
        <v>14.3688658624</v>
      </c>
      <c r="T303" s="22">
        <f>T77</f>
        <v>10.227940862400001</v>
      </c>
      <c r="U303" s="22">
        <f>U77</f>
        <v>8.0827789924000015</v>
      </c>
      <c r="V303" s="23">
        <f>U303</f>
        <v>8.0827789924000015</v>
      </c>
      <c r="W303" s="22">
        <f>W77</f>
        <v>7.6495746724</v>
      </c>
      <c r="X303" s="22">
        <f>X77</f>
        <v>11.876484892400001</v>
      </c>
      <c r="Y303" s="22">
        <f>Y77</f>
        <v>9.8950771224</v>
      </c>
      <c r="Z303" s="22">
        <f>Z77</f>
        <v>11.08643058</v>
      </c>
      <c r="AA303" s="23">
        <f>Z303</f>
        <v>11.08643058</v>
      </c>
      <c r="AB303" s="22">
        <f>AB77</f>
        <v>18.499614430000001</v>
      </c>
      <c r="AC303" s="22">
        <f>AC77</f>
        <v>14.568277409999999</v>
      </c>
      <c r="AD303" s="22">
        <f>AD77</f>
        <v>10.548</v>
      </c>
      <c r="AE303" s="22">
        <f>AE77</f>
        <v>10.068447249999998</v>
      </c>
      <c r="AF303" s="23">
        <f>AE303</f>
        <v>10.068447249999998</v>
      </c>
      <c r="AG303" s="22">
        <f>AG77</f>
        <v>18.22232056</v>
      </c>
      <c r="AH303" s="22">
        <f>AH304*SUM(AD16:AE16,AG16:AH16)/365</f>
        <v>17.237237007495278</v>
      </c>
      <c r="AI303" s="22">
        <f>AI304*SUM(AE16,AG16:AI16)/365</f>
        <v>11.746134199157686</v>
      </c>
      <c r="AJ303" s="22">
        <f t="shared" ref="AJ303" si="513">AJ304*SUM(AG$16:AJ$16)/365</f>
        <v>11.104939187960298</v>
      </c>
      <c r="AK303" s="105">
        <f>AJ303</f>
        <v>11.104939187960298</v>
      </c>
      <c r="AL303" s="23">
        <f t="shared" ref="AL303:AT303" si="514">AL304*AL16/365</f>
        <v>12.671504267442419</v>
      </c>
      <c r="AM303" s="23">
        <f t="shared" si="514"/>
        <v>14.412180091367397</v>
      </c>
      <c r="AN303" s="23">
        <f t="shared" si="514"/>
        <v>16.28692509652231</v>
      </c>
      <c r="AO303" s="23">
        <f t="shared" si="514"/>
        <v>18.304311057967421</v>
      </c>
      <c r="AP303" s="23">
        <f t="shared" si="514"/>
        <v>20.473408439157684</v>
      </c>
      <c r="AQ303" s="23">
        <f t="shared" si="514"/>
        <v>22.803813845889209</v>
      </c>
      <c r="AR303" s="23">
        <f t="shared" si="514"/>
        <v>25.30567894358904</v>
      </c>
      <c r="AS303" s="23">
        <f t="shared" si="514"/>
        <v>27.989740914801427</v>
      </c>
      <c r="AT303" s="23">
        <f t="shared" si="514"/>
        <v>30.867354537768779</v>
      </c>
      <c r="AU303" s="8" t="s">
        <v>29</v>
      </c>
    </row>
    <row r="304" spans="2:47" ht="16.2" customHeight="1" x14ac:dyDescent="0.3">
      <c r="B304" s="24" t="s">
        <v>173</v>
      </c>
      <c r="F304" s="69">
        <f>F303/SUM(C$16:F$16)*365</f>
        <v>26.470056288398158</v>
      </c>
      <c r="G304" s="70">
        <f>F304</f>
        <v>26.470056288398158</v>
      </c>
      <c r="H304" s="69">
        <f>H303/SUM(D$16:F$16,H$16)*365</f>
        <v>23.398452958470411</v>
      </c>
      <c r="I304" s="69">
        <f>I303/SUM(E$16:F$16,H$16:I$16)*365</f>
        <v>19.363119638038672</v>
      </c>
      <c r="J304" s="69">
        <f>J303/SUM(F$16,H$16:J$16)*365</f>
        <v>17.144975000690128</v>
      </c>
      <c r="K304" s="69">
        <f t="shared" ref="K304:AE304" si="515">K303/SUM(H$16:K$16)*365</f>
        <v>18.070201575685182</v>
      </c>
      <c r="L304" s="70">
        <f>K304</f>
        <v>18.070201575685182</v>
      </c>
      <c r="M304" s="69">
        <f>M303/SUM(I$16:K$16,M$16)*365</f>
        <v>14.117700299814915</v>
      </c>
      <c r="N304" s="69">
        <f>N303/SUM(J$16:K$16,M$16:N$16)*365</f>
        <v>12.198362662806778</v>
      </c>
      <c r="O304" s="69">
        <f>O303/SUM(K$16,M$16:O$16)*365</f>
        <v>9.3366258669624873</v>
      </c>
      <c r="P304" s="69">
        <f t="shared" si="515"/>
        <v>5.8340101332614287</v>
      </c>
      <c r="Q304" s="70">
        <f>P304</f>
        <v>5.8340101332614287</v>
      </c>
      <c r="R304" s="69">
        <f>R303/SUM(N$16:P$16,R$16)*365</f>
        <v>11.051718948755596</v>
      </c>
      <c r="S304" s="69">
        <f>S303/SUM(O$16:P$16,R$16:S$16)*365</f>
        <v>8.4464970982349268</v>
      </c>
      <c r="T304" s="69">
        <f>T303/SUM(P$16,R$16:T$16)*365</f>
        <v>5.769521547735784</v>
      </c>
      <c r="U304" s="69">
        <f t="shared" si="515"/>
        <v>4.3151338271713495</v>
      </c>
      <c r="V304" s="70">
        <f>U304</f>
        <v>4.3151338271713495</v>
      </c>
      <c r="W304" s="69">
        <f>W303/SUM(S$16:U$16,W$16)*365</f>
        <v>3.9653051902174195</v>
      </c>
      <c r="X304" s="69">
        <f>X303/SUM(T$16:U$16,W$16:X$16)*365</f>
        <v>5.8551654699604603</v>
      </c>
      <c r="Y304" s="69">
        <f>Y303/SUM(U$16,W$16:Y$16)*365</f>
        <v>4.6279263592780771</v>
      </c>
      <c r="Z304" s="69">
        <f t="shared" si="515"/>
        <v>4.8650476420453526</v>
      </c>
      <c r="AA304" s="70">
        <f>Z304</f>
        <v>4.8650476420453526</v>
      </c>
      <c r="AB304" s="69">
        <f>AB303/SUM(X16:Z16,AB16)*365</f>
        <v>7.6521443074905884</v>
      </c>
      <c r="AC304" s="69">
        <f>AC303/SUM(Y16:Z16,AB16:AC16)*365</f>
        <v>5.7023100779836629</v>
      </c>
      <c r="AD304" s="69">
        <f>AD303/SUM(Z16,AB16:AD16)*365</f>
        <v>3.8627787582384618</v>
      </c>
      <c r="AE304" s="69">
        <f t="shared" si="515"/>
        <v>3.511649408941321</v>
      </c>
      <c r="AF304" s="70">
        <f>AE304</f>
        <v>3.511649408941321</v>
      </c>
      <c r="AG304" s="69">
        <f>AG303/SUM(AC16:AE16,AG16)*365</f>
        <v>6.1307448578834238</v>
      </c>
      <c r="AH304" s="80">
        <f>AC304</f>
        <v>5.7023100779836629</v>
      </c>
      <c r="AI304" s="80">
        <f t="shared" ref="AI304:AJ304" si="516">AD304</f>
        <v>3.8627787582384618</v>
      </c>
      <c r="AJ304" s="80">
        <f t="shared" si="516"/>
        <v>3.511649408941321</v>
      </c>
      <c r="AK304" s="116">
        <f>AJ304</f>
        <v>3.511649408941321</v>
      </c>
      <c r="AL304" s="72">
        <f>AK304</f>
        <v>3.511649408941321</v>
      </c>
      <c r="AM304" s="72">
        <f>AL304</f>
        <v>3.511649408941321</v>
      </c>
      <c r="AN304" s="72">
        <f t="shared" ref="AN304:AT304" si="517">AM304</f>
        <v>3.511649408941321</v>
      </c>
      <c r="AO304" s="72">
        <f t="shared" si="517"/>
        <v>3.511649408941321</v>
      </c>
      <c r="AP304" s="72">
        <f t="shared" si="517"/>
        <v>3.511649408941321</v>
      </c>
      <c r="AQ304" s="72">
        <f t="shared" si="517"/>
        <v>3.511649408941321</v>
      </c>
      <c r="AR304" s="72">
        <f t="shared" si="517"/>
        <v>3.511649408941321</v>
      </c>
      <c r="AS304" s="72">
        <f t="shared" si="517"/>
        <v>3.511649408941321</v>
      </c>
      <c r="AT304" s="72">
        <f t="shared" si="517"/>
        <v>3.511649408941321</v>
      </c>
      <c r="AU304" s="8" t="s">
        <v>29</v>
      </c>
    </row>
    <row r="305" spans="1:47" ht="7.95" customHeight="1" x14ac:dyDescent="0.3">
      <c r="G305" s="7"/>
      <c r="L305" s="7"/>
      <c r="Q305" s="7"/>
      <c r="V305" s="7"/>
      <c r="AA305" s="7"/>
      <c r="AF305" s="7"/>
      <c r="AK305" s="103"/>
      <c r="AL305" s="7"/>
      <c r="AM305" s="7"/>
      <c r="AN305" s="7"/>
      <c r="AO305" s="7"/>
      <c r="AP305" s="7"/>
      <c r="AQ305" s="7"/>
      <c r="AR305" s="7"/>
      <c r="AS305" s="7"/>
      <c r="AT305" s="7"/>
      <c r="AU305" s="8" t="s">
        <v>29</v>
      </c>
    </row>
    <row r="306" spans="1:47" ht="16.2" customHeight="1" x14ac:dyDescent="0.3">
      <c r="A306" s="9" t="s">
        <v>30</v>
      </c>
      <c r="B306" s="10" t="s">
        <v>178</v>
      </c>
      <c r="C306" s="11"/>
      <c r="D306" s="11"/>
      <c r="E306" s="11"/>
      <c r="F306" s="11"/>
      <c r="G306" s="12"/>
      <c r="H306" s="11"/>
      <c r="I306" s="11"/>
      <c r="J306" s="11"/>
      <c r="K306" s="11"/>
      <c r="L306" s="12"/>
      <c r="M306" s="11"/>
      <c r="N306" s="11"/>
      <c r="O306" s="11"/>
      <c r="P306" s="11"/>
      <c r="Q306" s="12"/>
      <c r="R306" s="11"/>
      <c r="S306" s="11"/>
      <c r="T306" s="11"/>
      <c r="U306" s="11"/>
      <c r="V306" s="12"/>
      <c r="W306" s="11"/>
      <c r="X306" s="11"/>
      <c r="Y306" s="11"/>
      <c r="Z306" s="11"/>
      <c r="AA306" s="12"/>
      <c r="AB306" s="11"/>
      <c r="AC306" s="11"/>
      <c r="AD306" s="11"/>
      <c r="AE306" s="11"/>
      <c r="AF306" s="12"/>
      <c r="AG306" s="11"/>
      <c r="AH306" s="11"/>
      <c r="AI306" s="11"/>
      <c r="AJ306" s="11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8" t="s">
        <v>29</v>
      </c>
    </row>
    <row r="307" spans="1:47" ht="7.95" customHeight="1" x14ac:dyDescent="0.3">
      <c r="G307" s="7"/>
      <c r="L307" s="7"/>
      <c r="Q307" s="7"/>
      <c r="V307" s="7"/>
      <c r="AA307" s="7"/>
      <c r="AF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8" t="s">
        <v>29</v>
      </c>
    </row>
    <row r="308" spans="1:47" ht="16.2" customHeight="1" x14ac:dyDescent="0.3">
      <c r="B308" s="5" t="s">
        <v>179</v>
      </c>
      <c r="C308" s="28">
        <v>-1.127</v>
      </c>
      <c r="D308" s="28">
        <v>-0.9</v>
      </c>
      <c r="E308" s="28">
        <v>-0.71699999999999997</v>
      </c>
      <c r="F308" s="28">
        <v>-2.3635137524000007</v>
      </c>
      <c r="G308" s="29">
        <f>SUM(C308:F308)</f>
        <v>-5.1075137524000009</v>
      </c>
      <c r="H308" s="28">
        <v>1.0999999999999999E-2</v>
      </c>
      <c r="I308" s="28">
        <v>-1.077</v>
      </c>
      <c r="J308" s="28">
        <v>-0.84942960899999964</v>
      </c>
      <c r="K308" s="28">
        <v>0.27859705700000098</v>
      </c>
      <c r="L308" s="29">
        <f>SUM(H308:K308)</f>
        <v>-1.6368325519999989</v>
      </c>
      <c r="M308" s="28">
        <v>-1.2259986699999998</v>
      </c>
      <c r="N308" s="28">
        <v>-0.79800000000000004</v>
      </c>
      <c r="O308" s="28">
        <v>-1.1429935117999999</v>
      </c>
      <c r="P308" s="28">
        <v>-1.6297331600000011</v>
      </c>
      <c r="Q308" s="29">
        <f>SUM(M308:P308)</f>
        <v>-4.7967253418000011</v>
      </c>
      <c r="R308" s="28">
        <v>-2.66</v>
      </c>
      <c r="S308" s="28">
        <v>-2.8809999999999998</v>
      </c>
      <c r="T308" s="28">
        <v>-3.0510000000000002</v>
      </c>
      <c r="U308" s="28">
        <v>-3.1921326004999999</v>
      </c>
      <c r="V308" s="29">
        <f>SUM(R308:U308)</f>
        <v>-11.784132600500001</v>
      </c>
      <c r="W308" s="28">
        <v>-3.5339999999999998</v>
      </c>
      <c r="X308" s="28">
        <v>-3.9369999999999998</v>
      </c>
      <c r="Y308" s="28">
        <v>-5.3289999999999997</v>
      </c>
      <c r="Z308" s="28">
        <v>-3.9657310029999988</v>
      </c>
      <c r="AA308" s="29">
        <f>SUM(W308:Z308)</f>
        <v>-16.765731002999999</v>
      </c>
      <c r="AB308" s="28">
        <v>-7.6849999999999996</v>
      </c>
      <c r="AC308" s="28">
        <v>-6.9450000000000003</v>
      </c>
      <c r="AD308" s="28">
        <v>-8.5344265364999998</v>
      </c>
      <c r="AE308" s="28">
        <v>-9.5120000000000005</v>
      </c>
      <c r="AF308" s="29">
        <f>SUM(AB308:AE308)</f>
        <v>-32.676426536500003</v>
      </c>
      <c r="AG308" s="28">
        <v>-10.438000000000001</v>
      </c>
      <c r="AH308" s="28">
        <f>AH310+AH316</f>
        <v>-8.6196585552480602</v>
      </c>
      <c r="AI308" s="28">
        <f t="shared" ref="AI308:AJ308" ca="1" si="518">AI310+AI316</f>
        <v>-9.2383244760777927</v>
      </c>
      <c r="AJ308" s="28">
        <f t="shared" ca="1" si="518"/>
        <v>-11.465266171256753</v>
      </c>
      <c r="AK308" s="104">
        <f ca="1">SUM(AG308:AJ308)</f>
        <v>-39.761249202582604</v>
      </c>
      <c r="AL308" s="29">
        <f ca="1">AL310+AL316</f>
        <v>-46.131487046404573</v>
      </c>
      <c r="AM308" s="29">
        <f ca="1">AM310+AM316</f>
        <v>-52.682327838845865</v>
      </c>
      <c r="AN308" s="29">
        <f t="shared" ref="AN308:AT308" ca="1" si="519">AN310+AN316</f>
        <v>-57.280853370851858</v>
      </c>
      <c r="AO308" s="29">
        <f t="shared" ca="1" si="519"/>
        <v>-61.873278754972944</v>
      </c>
      <c r="AP308" s="29">
        <f t="shared" ca="1" si="519"/>
        <v>-66.429597595994167</v>
      </c>
      <c r="AQ308" s="29">
        <f t="shared" ca="1" si="519"/>
        <v>-70.915934473477904</v>
      </c>
      <c r="AR308" s="29">
        <f t="shared" ca="1" si="519"/>
        <v>-75.294189176350613</v>
      </c>
      <c r="AS308" s="29">
        <f t="shared" ca="1" si="519"/>
        <v>-79.521652862739742</v>
      </c>
      <c r="AT308" s="29">
        <f t="shared" ca="1" si="519"/>
        <v>-83.550594119989626</v>
      </c>
      <c r="AU308" s="8" t="s">
        <v>29</v>
      </c>
    </row>
    <row r="309" spans="1:47" ht="7.95" customHeight="1" x14ac:dyDescent="0.3">
      <c r="G309" s="7"/>
      <c r="L309" s="7"/>
      <c r="Q309" s="7"/>
      <c r="V309" s="7"/>
      <c r="AA309" s="7"/>
      <c r="AF309" s="7"/>
      <c r="AK309" s="103"/>
      <c r="AL309" s="7"/>
      <c r="AM309" s="7"/>
      <c r="AN309" s="7"/>
      <c r="AO309" s="7"/>
      <c r="AP309" s="7"/>
      <c r="AQ309" s="7"/>
      <c r="AR309" s="7"/>
      <c r="AS309" s="7"/>
      <c r="AT309" s="7"/>
      <c r="AU309" s="8" t="s">
        <v>29</v>
      </c>
    </row>
    <row r="310" spans="1:47" ht="16.2" customHeight="1" x14ac:dyDescent="0.3">
      <c r="B310" s="30" t="s">
        <v>180</v>
      </c>
      <c r="C310" s="28">
        <v>0.83799999999999997</v>
      </c>
      <c r="D310" s="28">
        <v>1.103</v>
      </c>
      <c r="E310" s="28">
        <v>3.169</v>
      </c>
      <c r="F310" s="28">
        <v>0.63189603999999944</v>
      </c>
      <c r="G310" s="29">
        <f>SUM(C310:F310)</f>
        <v>5.7418960399999985</v>
      </c>
      <c r="H310" s="28">
        <v>1.41</v>
      </c>
      <c r="I310" s="28">
        <v>1.3457888899999999</v>
      </c>
      <c r="J310" s="28">
        <v>1.8953737800000001</v>
      </c>
      <c r="K310" s="28">
        <v>1.9674781100000009</v>
      </c>
      <c r="L310" s="29">
        <f>SUM(H310:K310)</f>
        <v>6.6186407800000007</v>
      </c>
      <c r="M310" s="28">
        <v>2.1670013300000002</v>
      </c>
      <c r="N310" s="28">
        <v>2.6520000000000001</v>
      </c>
      <c r="O310" s="28">
        <v>3.2436398800000004</v>
      </c>
      <c r="P310" s="28">
        <v>2.2002668399999989</v>
      </c>
      <c r="Q310" s="29">
        <f>SUM(M310:P310)</f>
        <v>10.26290805</v>
      </c>
      <c r="R310" s="28">
        <v>1.986</v>
      </c>
      <c r="S310" s="28">
        <v>2.2170000000000001</v>
      </c>
      <c r="T310" s="28">
        <v>2.78</v>
      </c>
      <c r="U310" s="28">
        <v>1.9830000000000001</v>
      </c>
      <c r="V310" s="29">
        <f>SUM(R310:U310)</f>
        <v>8.9660000000000011</v>
      </c>
      <c r="W310" s="28">
        <v>2.5470000000000002</v>
      </c>
      <c r="X310" s="28">
        <v>2.3130000000000002</v>
      </c>
      <c r="Y310" s="28">
        <v>1.8240000000000001</v>
      </c>
      <c r="Z310" s="28">
        <v>2.5169999999999999</v>
      </c>
      <c r="AA310" s="29">
        <f>SUM(W310:Z310)</f>
        <v>9.2010000000000005</v>
      </c>
      <c r="AB310" s="28">
        <v>1.105</v>
      </c>
      <c r="AC310" s="28">
        <v>0.94199999999999995</v>
      </c>
      <c r="AD310" s="28">
        <v>0.74771562999999985</v>
      </c>
      <c r="AE310" s="28">
        <v>-0.05</v>
      </c>
      <c r="AF310" s="29">
        <f>SUM(AB310:AE310)</f>
        <v>2.74471563</v>
      </c>
      <c r="AG310" s="28">
        <v>0.78500000000000003</v>
      </c>
      <c r="AH310" s="28">
        <f>SUM(AH311:AH314)</f>
        <v>1.0704259609450504</v>
      </c>
      <c r="AI310" s="28">
        <f t="shared" ref="AI310:AJ310" si="520">SUM(AI311:AI314)</f>
        <v>1.0098100387219981</v>
      </c>
      <c r="AJ310" s="28">
        <f t="shared" si="520"/>
        <v>0.95663087975804262</v>
      </c>
      <c r="AK310" s="104">
        <f>SUM(AG310:AJ310)</f>
        <v>3.8218668794250914</v>
      </c>
      <c r="AL310" s="29">
        <f>SUM(AL311:AL314)</f>
        <v>3.6273090000000003</v>
      </c>
      <c r="AM310" s="29">
        <f>SUM(AM311:AM314)</f>
        <v>3.1818500000000003</v>
      </c>
      <c r="AN310" s="29">
        <f t="shared" ref="AN310:AT310" si="521">SUM(AN311:AN314)</f>
        <v>3.1818500000000003</v>
      </c>
      <c r="AO310" s="29">
        <f t="shared" si="521"/>
        <v>3.1818500000000003</v>
      </c>
      <c r="AP310" s="29">
        <f t="shared" si="521"/>
        <v>3.1818500000000003</v>
      </c>
      <c r="AQ310" s="29">
        <f t="shared" si="521"/>
        <v>3.1818500000000003</v>
      </c>
      <c r="AR310" s="29">
        <f t="shared" si="521"/>
        <v>3.1818500000000003</v>
      </c>
      <c r="AS310" s="29">
        <f t="shared" si="521"/>
        <v>3.1818500000000003</v>
      </c>
      <c r="AT310" s="29">
        <f t="shared" si="521"/>
        <v>3.1818500000000003</v>
      </c>
      <c r="AU310" s="8" t="s">
        <v>29</v>
      </c>
    </row>
    <row r="311" spans="1:47" ht="16.2" customHeight="1" x14ac:dyDescent="0.3">
      <c r="B311" s="24" t="s">
        <v>181</v>
      </c>
      <c r="C311" s="22">
        <v>0.251</v>
      </c>
      <c r="D311" s="22">
        <v>0.56999999999999995</v>
      </c>
      <c r="E311" s="22">
        <v>0.35299999999999998</v>
      </c>
      <c r="F311" s="22">
        <v>0.45100000000000001</v>
      </c>
      <c r="G311" s="23">
        <f>SUM(C311:F311)</f>
        <v>1.625</v>
      </c>
      <c r="H311" s="22">
        <v>0.42299999999999999</v>
      </c>
      <c r="I311" s="22">
        <v>0.65500000000000003</v>
      </c>
      <c r="J311" s="22">
        <v>0.92200000000000004</v>
      </c>
      <c r="K311" s="22">
        <v>1.2569999999999999</v>
      </c>
      <c r="L311" s="23">
        <f>SUM(H311:K311)</f>
        <v>3.2569999999999997</v>
      </c>
      <c r="M311" s="22">
        <v>1.4750000000000001</v>
      </c>
      <c r="N311" s="22">
        <v>1.702</v>
      </c>
      <c r="O311" s="22">
        <v>1.9570000000000001</v>
      </c>
      <c r="P311" s="22">
        <v>1.3280000000000001</v>
      </c>
      <c r="Q311" s="23">
        <f>SUM(M311:P311)</f>
        <v>6.4620000000000006</v>
      </c>
      <c r="R311" s="22">
        <v>1.109</v>
      </c>
      <c r="S311" s="22">
        <v>1.0860000000000001</v>
      </c>
      <c r="T311" s="22">
        <v>0.98099999999999998</v>
      </c>
      <c r="U311" s="22">
        <v>1.196</v>
      </c>
      <c r="V311" s="23">
        <f>SUM(R311:U311)</f>
        <v>4.3719999999999999</v>
      </c>
      <c r="W311" s="22">
        <v>1.5109999999999999</v>
      </c>
      <c r="X311" s="22">
        <f>2.95-W311</f>
        <v>1.4390000000000003</v>
      </c>
      <c r="Y311" s="22">
        <f>4.087-X311-W311</f>
        <v>1.1369999999999998</v>
      </c>
      <c r="Z311" s="22">
        <f>4.582-Y311-X311-W311</f>
        <v>0.49500000000000033</v>
      </c>
      <c r="AA311" s="23">
        <f>SUM(W311:Z311)</f>
        <v>4.5819999999999999</v>
      </c>
      <c r="AB311" s="22">
        <v>0.28299999999999997</v>
      </c>
      <c r="AC311" s="22">
        <f>0.903-AB311</f>
        <v>0.62000000000000011</v>
      </c>
      <c r="AD311" s="22">
        <f>1.348-AC311-AB311</f>
        <v>0.44500000000000001</v>
      </c>
      <c r="AE311" s="22">
        <f>1.45-AD311-AC311-AB311</f>
        <v>0.10199999999999981</v>
      </c>
      <c r="AF311" s="23">
        <f>SUM(AB311:AE311)</f>
        <v>1.45</v>
      </c>
      <c r="AG311" s="22">
        <v>0.10100000000000001</v>
      </c>
      <c r="AH311" s="22">
        <f>AH323</f>
        <v>1.0704259609450504</v>
      </c>
      <c r="AI311" s="22">
        <f t="shared" ref="AI311:AJ311" si="522">AI323</f>
        <v>1.0098100387219981</v>
      </c>
      <c r="AJ311" s="22">
        <f t="shared" si="522"/>
        <v>0.95663087975804262</v>
      </c>
      <c r="AK311" s="105">
        <f>SUM(AG311:AJ311)</f>
        <v>3.1378668794250912</v>
      </c>
      <c r="AL311" s="23">
        <f>AL323</f>
        <v>3.6273090000000003</v>
      </c>
      <c r="AM311" s="23">
        <f>AM323</f>
        <v>3.1818500000000003</v>
      </c>
      <c r="AN311" s="23">
        <f t="shared" ref="AN311:AT311" si="523">AN323</f>
        <v>3.1818500000000003</v>
      </c>
      <c r="AO311" s="23">
        <f t="shared" si="523"/>
        <v>3.1818500000000003</v>
      </c>
      <c r="AP311" s="23">
        <f t="shared" si="523"/>
        <v>3.1818500000000003</v>
      </c>
      <c r="AQ311" s="23">
        <f t="shared" si="523"/>
        <v>3.1818500000000003</v>
      </c>
      <c r="AR311" s="23">
        <f t="shared" si="523"/>
        <v>3.1818500000000003</v>
      </c>
      <c r="AS311" s="23">
        <f t="shared" si="523"/>
        <v>3.1818500000000003</v>
      </c>
      <c r="AT311" s="23">
        <f t="shared" si="523"/>
        <v>3.1818500000000003</v>
      </c>
      <c r="AU311" s="8" t="s">
        <v>29</v>
      </c>
    </row>
    <row r="312" spans="1:47" ht="16.2" customHeight="1" x14ac:dyDescent="0.3">
      <c r="B312" s="24" t="s">
        <v>182</v>
      </c>
      <c r="C312" s="22">
        <v>0.28899999999999998</v>
      </c>
      <c r="D312" s="22">
        <v>2.9000000000000001E-2</v>
      </c>
      <c r="E312" s="22">
        <v>2.633</v>
      </c>
      <c r="F312" s="22">
        <v>7.9000000000000001E-2</v>
      </c>
      <c r="G312" s="23">
        <f>SUM(C312:F312)</f>
        <v>3.0300000000000002</v>
      </c>
      <c r="H312" s="22">
        <v>0.73799999999999999</v>
      </c>
      <c r="I312" s="22">
        <v>0.23799999999999999</v>
      </c>
      <c r="J312" s="22">
        <v>0.33400000000000002</v>
      </c>
      <c r="K312" s="22">
        <v>0.126</v>
      </c>
      <c r="L312" s="23">
        <f>SUM(H312:K312)</f>
        <v>1.4359999999999999</v>
      </c>
      <c r="M312" s="22">
        <v>0.17699999999999999</v>
      </c>
      <c r="N312" s="22">
        <v>0.26700000000000002</v>
      </c>
      <c r="O312" s="22">
        <v>0.42799999999999999</v>
      </c>
      <c r="P312" s="22">
        <v>0.29099999999999998</v>
      </c>
      <c r="Q312" s="23">
        <f>SUM(M312:P312)</f>
        <v>1.163</v>
      </c>
      <c r="R312" s="22">
        <v>4.8000000000000001E-2</v>
      </c>
      <c r="S312" s="22">
        <v>3.3000000000000002E-2</v>
      </c>
      <c r="T312" s="22">
        <v>0.66900000000000004</v>
      </c>
      <c r="U312" s="22">
        <v>0.47199999999999998</v>
      </c>
      <c r="V312" s="23">
        <f>SUM(R312:U312)</f>
        <v>1.222</v>
      </c>
      <c r="W312" s="22">
        <v>0.33900000000000002</v>
      </c>
      <c r="X312" s="22">
        <f>0.676-W312</f>
        <v>0.33700000000000002</v>
      </c>
      <c r="Y312" s="22">
        <f>0.712-X312-W312</f>
        <v>3.5999999999999921E-2</v>
      </c>
      <c r="Z312" s="22">
        <f>1.14-Y312-X312-W312</f>
        <v>0.4280000000000001</v>
      </c>
      <c r="AA312" s="23">
        <f>SUM(W312:Z312)</f>
        <v>1.1400000000000001</v>
      </c>
      <c r="AB312" s="22">
        <v>0.111</v>
      </c>
      <c r="AC312" s="22">
        <f>0.223-AB312</f>
        <v>0.112</v>
      </c>
      <c r="AD312" s="22">
        <f>0.305-AC312-AB312</f>
        <v>8.2000000000000003E-2</v>
      </c>
      <c r="AE312" s="22">
        <f>0.363-AD312-AC312-AB312</f>
        <v>5.7999999999999982E-2</v>
      </c>
      <c r="AF312" s="23">
        <f>SUM(AB312:AE312)</f>
        <v>0.36299999999999999</v>
      </c>
      <c r="AG312" s="22">
        <v>0.45</v>
      </c>
      <c r="AH312" s="167"/>
      <c r="AI312" s="167"/>
      <c r="AJ312" s="167"/>
      <c r="AK312" s="113">
        <f>SUM(AG312:AJ312)</f>
        <v>0.45</v>
      </c>
      <c r="AL312" s="171"/>
      <c r="AM312" s="171"/>
      <c r="AN312" s="171"/>
      <c r="AO312" s="171"/>
      <c r="AP312" s="171"/>
      <c r="AQ312" s="171"/>
      <c r="AR312" s="171"/>
      <c r="AS312" s="171"/>
      <c r="AT312" s="171"/>
      <c r="AU312" s="8" t="s">
        <v>29</v>
      </c>
    </row>
    <row r="313" spans="1:47" ht="16.2" customHeight="1" x14ac:dyDescent="0.3">
      <c r="B313" s="24" t="s">
        <v>183</v>
      </c>
      <c r="C313" s="22">
        <v>0.29799999999999999</v>
      </c>
      <c r="D313" s="22">
        <v>0.48599999999999999</v>
      </c>
      <c r="E313" s="22">
        <v>0.17799999999999999</v>
      </c>
      <c r="F313" s="22">
        <v>9.5000000000000001E-2</v>
      </c>
      <c r="G313" s="23">
        <f>SUM(C313:F313)</f>
        <v>1.0569999999999999</v>
      </c>
      <c r="H313" s="22">
        <v>0.24099999999999999</v>
      </c>
      <c r="I313" s="22">
        <v>0.44500000000000001</v>
      </c>
      <c r="J313" s="22">
        <v>0.627</v>
      </c>
      <c r="K313" s="22">
        <v>0.57599999999999996</v>
      </c>
      <c r="L313" s="23">
        <f>SUM(H313:K313)</f>
        <v>1.8889999999999998</v>
      </c>
      <c r="M313" s="22">
        <v>0.50600000000000001</v>
      </c>
      <c r="N313" s="22">
        <v>0.67700000000000005</v>
      </c>
      <c r="O313" s="22">
        <v>0.84599999999999997</v>
      </c>
      <c r="P313" s="22">
        <v>0.57299999999999995</v>
      </c>
      <c r="Q313" s="23">
        <f>SUM(M313:P313)</f>
        <v>2.6019999999999999</v>
      </c>
      <c r="R313" s="22">
        <v>0.82899999999999996</v>
      </c>
      <c r="S313" s="22">
        <v>0.745</v>
      </c>
      <c r="T313" s="22">
        <v>1.008</v>
      </c>
      <c r="U313" s="22">
        <v>0.41699999999999998</v>
      </c>
      <c r="V313" s="23">
        <f>SUM(R313:U313)</f>
        <v>2.9989999999999997</v>
      </c>
      <c r="W313" s="22">
        <v>0.63</v>
      </c>
      <c r="X313" s="22">
        <f>1.172-W313</f>
        <v>0.54199999999999993</v>
      </c>
      <c r="Y313" s="22">
        <f>1.794-X313-W313</f>
        <v>0.62200000000000022</v>
      </c>
      <c r="Z313" s="22">
        <f>3.362-Y313-X313-W313</f>
        <v>1.5680000000000001</v>
      </c>
      <c r="AA313" s="23">
        <f>SUM(W313:Z313)</f>
        <v>3.3620000000000001</v>
      </c>
      <c r="AB313" s="22">
        <v>0.66900000000000004</v>
      </c>
      <c r="AC313" s="22">
        <f>0.886-AB313</f>
        <v>0.21699999999999997</v>
      </c>
      <c r="AD313" s="22">
        <f>1.082-AC313-AB313</f>
        <v>0.19600000000000006</v>
      </c>
      <c r="AE313" s="22">
        <f>0.848-AD313-AC313-AB313</f>
        <v>-0.2340000000000001</v>
      </c>
      <c r="AF313" s="23">
        <f>SUM(AB313:AE313)</f>
        <v>0.84799999999999998</v>
      </c>
      <c r="AG313" s="22">
        <v>0.19700000000000001</v>
      </c>
      <c r="AH313" s="167"/>
      <c r="AI313" s="167"/>
      <c r="AJ313" s="167"/>
      <c r="AK313" s="113">
        <f>SUM(AG313:AJ313)</f>
        <v>0.19700000000000001</v>
      </c>
      <c r="AL313" s="171"/>
      <c r="AM313" s="171"/>
      <c r="AN313" s="171"/>
      <c r="AO313" s="171"/>
      <c r="AP313" s="171"/>
      <c r="AQ313" s="171"/>
      <c r="AR313" s="171"/>
      <c r="AS313" s="171"/>
      <c r="AT313" s="171"/>
      <c r="AU313" s="8" t="s">
        <v>29</v>
      </c>
    </row>
    <row r="314" spans="1:47" ht="16.2" customHeight="1" x14ac:dyDescent="0.3">
      <c r="B314" s="24" t="s">
        <v>136</v>
      </c>
      <c r="C314" s="22">
        <v>0</v>
      </c>
      <c r="D314" s="22">
        <v>1.7999999999999999E-2</v>
      </c>
      <c r="E314" s="22">
        <v>5.0000000000000001E-3</v>
      </c>
      <c r="F314" s="22">
        <v>7.0000000000000001E-3</v>
      </c>
      <c r="G314" s="23">
        <f>SUM(C314:F314)</f>
        <v>0.03</v>
      </c>
      <c r="H314" s="22">
        <v>8.0000000000000002E-3</v>
      </c>
      <c r="I314" s="22">
        <v>8.0000000000000002E-3</v>
      </c>
      <c r="J314" s="22">
        <v>1.2E-2</v>
      </c>
      <c r="K314" s="22">
        <v>8.9999999999999993E-3</v>
      </c>
      <c r="L314" s="23">
        <f>SUM(H314:K314)</f>
        <v>3.6999999999999998E-2</v>
      </c>
      <c r="M314" s="22">
        <v>8.9999999999999993E-3</v>
      </c>
      <c r="N314" s="22">
        <v>6.0000000000000001E-3</v>
      </c>
      <c r="O314" s="22">
        <v>1.2999999999999999E-2</v>
      </c>
      <c r="P314" s="22">
        <v>8.0000000000000002E-3</v>
      </c>
      <c r="Q314" s="23">
        <f>SUM(M314:P314)</f>
        <v>3.5999999999999997E-2</v>
      </c>
      <c r="R314" s="22">
        <v>0</v>
      </c>
      <c r="S314" s="22">
        <v>0.35299999999999998</v>
      </c>
      <c r="T314" s="22">
        <v>0.122</v>
      </c>
      <c r="U314" s="22">
        <v>-0.10199999999999999</v>
      </c>
      <c r="V314" s="23">
        <f>SUM(R314:U314)</f>
        <v>0.373</v>
      </c>
      <c r="W314" s="22">
        <v>1.4E-2</v>
      </c>
      <c r="X314" s="22">
        <f>0.062-W314</f>
        <v>4.8000000000000001E-2</v>
      </c>
      <c r="Y314" s="22">
        <f>0.091-X314-W314</f>
        <v>2.8999999999999998E-2</v>
      </c>
      <c r="Z314" s="22">
        <f>0.117-Y314-X314-W314</f>
        <v>2.6000000000000009E-2</v>
      </c>
      <c r="AA314" s="23">
        <f>SUM(W314:Z314)</f>
        <v>0.11700000000000001</v>
      </c>
      <c r="AB314" s="22">
        <v>4.2000000000000003E-2</v>
      </c>
      <c r="AC314" s="22">
        <f>0.035-AB314</f>
        <v>-6.9999999999999993E-3</v>
      </c>
      <c r="AD314" s="22">
        <f>0.06-AC314-AB314</f>
        <v>2.5000000000000001E-2</v>
      </c>
      <c r="AE314" s="22">
        <f>0.084-AD314-AC314-AB314</f>
        <v>2.4E-2</v>
      </c>
      <c r="AF314" s="23">
        <f>SUM(AB314:AE314)</f>
        <v>8.4000000000000005E-2</v>
      </c>
      <c r="AG314" s="22">
        <v>3.6999999999999998E-2</v>
      </c>
      <c r="AH314" s="167"/>
      <c r="AI314" s="167"/>
      <c r="AJ314" s="167"/>
      <c r="AK314" s="113">
        <f>SUM(AG314:AJ314)</f>
        <v>3.6999999999999998E-2</v>
      </c>
      <c r="AL314" s="171"/>
      <c r="AM314" s="171"/>
      <c r="AN314" s="171"/>
      <c r="AO314" s="171"/>
      <c r="AP314" s="171"/>
      <c r="AQ314" s="171"/>
      <c r="AR314" s="171"/>
      <c r="AS314" s="171"/>
      <c r="AT314" s="171"/>
      <c r="AU314" s="8" t="s">
        <v>29</v>
      </c>
    </row>
    <row r="315" spans="1:47" ht="7.95" customHeight="1" x14ac:dyDescent="0.3">
      <c r="C315" s="82"/>
      <c r="D315" s="82"/>
      <c r="E315" s="82"/>
      <c r="F315" s="82"/>
      <c r="G315" s="83"/>
      <c r="H315" s="82"/>
      <c r="I315" s="82"/>
      <c r="J315" s="82"/>
      <c r="K315" s="82"/>
      <c r="L315" s="83"/>
      <c r="M315" s="82"/>
      <c r="N315" s="82"/>
      <c r="O315" s="82"/>
      <c r="P315" s="82"/>
      <c r="Q315" s="83"/>
      <c r="R315" s="82"/>
      <c r="S315" s="82"/>
      <c r="T315" s="82"/>
      <c r="U315" s="82"/>
      <c r="V315" s="83"/>
      <c r="W315" s="82"/>
      <c r="X315" s="82"/>
      <c r="Y315" s="82"/>
      <c r="Z315" s="82"/>
      <c r="AA315" s="83"/>
      <c r="AB315" s="82"/>
      <c r="AC315" s="82"/>
      <c r="AD315" s="82"/>
      <c r="AE315" s="82"/>
      <c r="AF315" s="83"/>
      <c r="AG315" s="82"/>
      <c r="AK315" s="103"/>
      <c r="AL315" s="7"/>
      <c r="AM315" s="7"/>
      <c r="AN315" s="7"/>
      <c r="AO315" s="7"/>
      <c r="AP315" s="7"/>
      <c r="AQ315" s="7"/>
      <c r="AR315" s="7"/>
      <c r="AS315" s="7"/>
      <c r="AT315" s="7"/>
      <c r="AU315" s="8" t="s">
        <v>29</v>
      </c>
    </row>
    <row r="316" spans="1:47" ht="16.2" customHeight="1" x14ac:dyDescent="0.3">
      <c r="B316" s="30" t="s">
        <v>184</v>
      </c>
      <c r="C316" s="28">
        <v>-1.9650000000000001</v>
      </c>
      <c r="D316" s="28">
        <v>-2.0030000000000001</v>
      </c>
      <c r="E316" s="28">
        <v>-3.8849999999999998</v>
      </c>
      <c r="F316" s="28">
        <v>-2.9954097923999998</v>
      </c>
      <c r="G316" s="29">
        <f t="shared" ref="G316:G321" si="524">SUM(C316:F316)</f>
        <v>-10.8484097924</v>
      </c>
      <c r="H316" s="28">
        <v>-1.399</v>
      </c>
      <c r="I316" s="28">
        <v>-2.423093164</v>
      </c>
      <c r="J316" s="28">
        <v>-2.7448033889999999</v>
      </c>
      <c r="K316" s="28">
        <v>-1.688881053</v>
      </c>
      <c r="L316" s="29">
        <f t="shared" ref="L316:L321" si="525">SUM(H316:K316)</f>
        <v>-8.2557776059999988</v>
      </c>
      <c r="M316" s="28">
        <v>-3.3929999999999998</v>
      </c>
      <c r="N316" s="28">
        <v>-3.45</v>
      </c>
      <c r="O316" s="28">
        <v>-4.3866333918000002</v>
      </c>
      <c r="P316" s="28">
        <v>-3.83</v>
      </c>
      <c r="Q316" s="29">
        <f t="shared" ref="Q316:Q321" si="526">SUM(M316:P316)</f>
        <v>-15.0596333918</v>
      </c>
      <c r="R316" s="28">
        <v>-4.6459999999999999</v>
      </c>
      <c r="S316" s="28">
        <v>-5.0979999999999999</v>
      </c>
      <c r="T316" s="28">
        <v>-5.8310000000000004</v>
      </c>
      <c r="U316" s="28">
        <v>-5.1751326005000005</v>
      </c>
      <c r="V316" s="29">
        <f t="shared" ref="V316:V321" si="527">SUM(R316:U316)</f>
        <v>-20.750132600499999</v>
      </c>
      <c r="W316" s="28">
        <v>-6.0810000000000004</v>
      </c>
      <c r="X316" s="28">
        <v>-6.25</v>
      </c>
      <c r="Y316" s="28">
        <v>-7.1529999999999996</v>
      </c>
      <c r="Z316" s="28">
        <v>-6.4827310029999987</v>
      </c>
      <c r="AA316" s="29">
        <f t="shared" ref="AA316:AA321" si="528">SUM(W316:Z316)</f>
        <v>-25.966731002999996</v>
      </c>
      <c r="AB316" s="28">
        <v>-8.7899999999999991</v>
      </c>
      <c r="AC316" s="28">
        <v>-7.8869999999999996</v>
      </c>
      <c r="AD316" s="28">
        <v>-9.2821421664999999</v>
      </c>
      <c r="AE316" s="28">
        <v>-9.4619999999999997</v>
      </c>
      <c r="AF316" s="29">
        <f t="shared" ref="AF316:AF321" si="529">SUM(AB316:AE316)</f>
        <v>-35.421142166500005</v>
      </c>
      <c r="AG316" s="28">
        <v>-11.223000000000001</v>
      </c>
      <c r="AH316" s="28">
        <f>SUM(AH317:AH321)</f>
        <v>-9.6900845161931102</v>
      </c>
      <c r="AI316" s="28">
        <f t="shared" ref="AI316:AJ316" ca="1" si="530">SUM(AI317:AI321)</f>
        <v>-10.248134514799791</v>
      </c>
      <c r="AJ316" s="28">
        <f t="shared" ca="1" si="530"/>
        <v>-12.421897051014795</v>
      </c>
      <c r="AK316" s="104">
        <f t="shared" ref="AK316:AK321" ca="1" si="531">SUM(AG316:AJ316)</f>
        <v>-43.583116082007692</v>
      </c>
      <c r="AL316" s="29">
        <f ca="1">SUM(AL317:AL321)</f>
        <v>-49.758796046404569</v>
      </c>
      <c r="AM316" s="29">
        <f ca="1">SUM(AM317:AM321)</f>
        <v>-55.864177838845862</v>
      </c>
      <c r="AN316" s="29">
        <f t="shared" ref="AN316:AT316" ca="1" si="532">SUM(AN317:AN321)</f>
        <v>-60.462703370851855</v>
      </c>
      <c r="AO316" s="29">
        <f t="shared" ca="1" si="532"/>
        <v>-65.055128754972941</v>
      </c>
      <c r="AP316" s="29">
        <f t="shared" ca="1" si="532"/>
        <v>-69.611447595994164</v>
      </c>
      <c r="AQ316" s="29">
        <f t="shared" ca="1" si="532"/>
        <v>-74.097784473477901</v>
      </c>
      <c r="AR316" s="29">
        <f t="shared" ca="1" si="532"/>
        <v>-78.476039176350611</v>
      </c>
      <c r="AS316" s="29">
        <f t="shared" ca="1" si="532"/>
        <v>-82.703502862739739</v>
      </c>
      <c r="AT316" s="29">
        <f t="shared" ca="1" si="532"/>
        <v>-86.732444119989623</v>
      </c>
      <c r="AU316" s="8" t="s">
        <v>29</v>
      </c>
    </row>
    <row r="317" spans="1:47" ht="16.2" customHeight="1" x14ac:dyDescent="0.3">
      <c r="B317" s="24" t="s">
        <v>185</v>
      </c>
      <c r="C317" s="22">
        <v>0</v>
      </c>
      <c r="D317" s="22">
        <v>0</v>
      </c>
      <c r="E317" s="22">
        <v>0</v>
      </c>
      <c r="F317" s="22">
        <v>-2.952</v>
      </c>
      <c r="G317" s="23">
        <f t="shared" si="524"/>
        <v>-2.952</v>
      </c>
      <c r="H317" s="22">
        <v>-1.6E-2</v>
      </c>
      <c r="I317" s="22">
        <v>-4.4999999999999998E-2</v>
      </c>
      <c r="J317" s="22">
        <v>1.0999999999999999E-2</v>
      </c>
      <c r="K317" s="22">
        <v>0</v>
      </c>
      <c r="L317" s="23">
        <f t="shared" si="525"/>
        <v>-0.05</v>
      </c>
      <c r="M317" s="22">
        <v>-1.0999999999999999E-2</v>
      </c>
      <c r="N317" s="22">
        <v>-8.9999999999999993E-3</v>
      </c>
      <c r="O317" s="22">
        <v>-1.4E-2</v>
      </c>
      <c r="P317" s="22">
        <v>-1.4E-2</v>
      </c>
      <c r="Q317" s="23">
        <f t="shared" si="526"/>
        <v>-4.7999999999999994E-2</v>
      </c>
      <c r="R317" s="22">
        <v>-6.5000000000000002E-2</v>
      </c>
      <c r="S317" s="22">
        <v>-8.0000000000000002E-3</v>
      </c>
      <c r="T317" s="22">
        <v>-5.5E-2</v>
      </c>
      <c r="U317" s="22">
        <v>-1.2999999999999999E-2</v>
      </c>
      <c r="V317" s="23">
        <f t="shared" si="527"/>
        <v>-0.14100000000000001</v>
      </c>
      <c r="W317" s="22">
        <v>0</v>
      </c>
      <c r="X317" s="22">
        <v>0</v>
      </c>
      <c r="Y317" s="22">
        <v>0</v>
      </c>
      <c r="Z317" s="22">
        <v>0</v>
      </c>
      <c r="AA317" s="23">
        <f t="shared" si="528"/>
        <v>0</v>
      </c>
      <c r="AB317" s="22">
        <v>0</v>
      </c>
      <c r="AC317" s="22">
        <v>0</v>
      </c>
      <c r="AD317" s="22">
        <v>0</v>
      </c>
      <c r="AE317" s="22">
        <v>0</v>
      </c>
      <c r="AF317" s="23">
        <f t="shared" si="529"/>
        <v>0</v>
      </c>
      <c r="AG317" s="22">
        <v>0</v>
      </c>
      <c r="AH317" s="22">
        <f>AH328</f>
        <v>0</v>
      </c>
      <c r="AI317" s="22">
        <f t="shared" ref="AI317:AJ317" ca="1" si="533">AI328</f>
        <v>-0.33978617222004015</v>
      </c>
      <c r="AJ317" s="22">
        <f t="shared" ca="1" si="533"/>
        <v>-0.64465621226887482</v>
      </c>
      <c r="AK317" s="105">
        <f t="shared" ca="1" si="531"/>
        <v>-0.98444238448891497</v>
      </c>
      <c r="AL317" s="23">
        <f ca="1">AL328</f>
        <v>-4.4688564371166084</v>
      </c>
      <c r="AM317" s="23">
        <f ca="1">AM328</f>
        <v>-5.9960795062426389</v>
      </c>
      <c r="AN317" s="23">
        <f t="shared" ref="AN317:AT317" ca="1" si="534">AN328</f>
        <v>-5.9960795062426389</v>
      </c>
      <c r="AO317" s="23">
        <f t="shared" ca="1" si="534"/>
        <v>-5.9960795062426389</v>
      </c>
      <c r="AP317" s="23">
        <f t="shared" ca="1" si="534"/>
        <v>-5.9960795062426389</v>
      </c>
      <c r="AQ317" s="23">
        <f t="shared" ca="1" si="534"/>
        <v>-5.9960795062426389</v>
      </c>
      <c r="AR317" s="23">
        <f t="shared" ca="1" si="534"/>
        <v>-5.9960795062426389</v>
      </c>
      <c r="AS317" s="23">
        <f t="shared" ca="1" si="534"/>
        <v>-5.9960795062426389</v>
      </c>
      <c r="AT317" s="23">
        <f t="shared" ca="1" si="534"/>
        <v>-5.9960795062426389</v>
      </c>
      <c r="AU317" s="8" t="s">
        <v>29</v>
      </c>
    </row>
    <row r="318" spans="1:47" ht="16.2" customHeight="1" x14ac:dyDescent="0.3">
      <c r="B318" s="24" t="s">
        <v>186</v>
      </c>
      <c r="C318" s="22">
        <v>-1.224</v>
      </c>
      <c r="D318" s="22">
        <v>-1.1779999999999999</v>
      </c>
      <c r="E318" s="22">
        <v>-1.482</v>
      </c>
      <c r="F318" s="22">
        <v>-1.22</v>
      </c>
      <c r="G318" s="23">
        <f t="shared" si="524"/>
        <v>-5.1040000000000001</v>
      </c>
      <c r="H318" s="22">
        <v>-1.139</v>
      </c>
      <c r="I318" s="22">
        <v>-1.657</v>
      </c>
      <c r="J318" s="22">
        <v>-1.778</v>
      </c>
      <c r="K318" s="22">
        <v>-1.327</v>
      </c>
      <c r="L318" s="23">
        <f t="shared" si="525"/>
        <v>-5.9009999999999998</v>
      </c>
      <c r="M318" s="22">
        <v>-1.9019999999999999</v>
      </c>
      <c r="N318" s="22">
        <v>-1.976</v>
      </c>
      <c r="O318" s="22">
        <v>-1.8120000000000001</v>
      </c>
      <c r="P318" s="22">
        <v>-2.1989999999999998</v>
      </c>
      <c r="Q318" s="23">
        <f t="shared" si="526"/>
        <v>-7.8890000000000002</v>
      </c>
      <c r="R318" s="22">
        <v>-2.2029999999999998</v>
      </c>
      <c r="S318" s="22">
        <v>-2.1859999999999999</v>
      </c>
      <c r="T318" s="22">
        <v>-2.5390000000000001</v>
      </c>
      <c r="U318" s="22">
        <v>-2.645</v>
      </c>
      <c r="V318" s="23">
        <f t="shared" si="527"/>
        <v>-9.5729999999999986</v>
      </c>
      <c r="W318" s="22">
        <v>-2.6070000000000002</v>
      </c>
      <c r="X318" s="22">
        <f>-5.59-W318</f>
        <v>-2.9829999999999997</v>
      </c>
      <c r="Y318" s="22">
        <f>-8.776-X318-W318</f>
        <v>-3.1859999999999999</v>
      </c>
      <c r="Z318" s="22">
        <f>-12.257-Y318-X318-W318</f>
        <v>-3.4809999999999999</v>
      </c>
      <c r="AA318" s="23">
        <f t="shared" si="528"/>
        <v>-12.257</v>
      </c>
      <c r="AB318" s="22">
        <v>-4.3890000000000002</v>
      </c>
      <c r="AC318" s="22">
        <f>-8.207-AB318</f>
        <v>-3.8180000000000005</v>
      </c>
      <c r="AD318" s="22">
        <f>-12.74-AC318-AB318</f>
        <v>-4.5330000000000004</v>
      </c>
      <c r="AE318" s="22">
        <f>-17.98-AD318-AC318-AB318</f>
        <v>-5.2399999999999975</v>
      </c>
      <c r="AF318" s="23">
        <f t="shared" si="529"/>
        <v>-17.98</v>
      </c>
      <c r="AG318" s="22">
        <v>-5.5259999999999998</v>
      </c>
      <c r="AH318" s="22">
        <f>AH333</f>
        <v>-5.7818671362281062</v>
      </c>
      <c r="AI318" s="22">
        <f t="shared" ref="AI318:AJ318" si="535">AI333</f>
        <v>-5.7818671362281062</v>
      </c>
      <c r="AJ318" s="22">
        <f t="shared" si="535"/>
        <v>-6.265638561657032</v>
      </c>
      <c r="AK318" s="105">
        <f t="shared" si="531"/>
        <v>-23.355372834113243</v>
      </c>
      <c r="AL318" s="23">
        <f>AL333</f>
        <v>-25.533842748479017</v>
      </c>
      <c r="AM318" s="23">
        <f>AM333</f>
        <v>-27.39812003712612</v>
      </c>
      <c r="AN318" s="23">
        <f t="shared" ref="AN318:AT318" si="536">AN333</f>
        <v>-29.073737354807388</v>
      </c>
      <c r="AO318" s="23">
        <f t="shared" si="536"/>
        <v>-30.520863521190829</v>
      </c>
      <c r="AP318" s="23">
        <f t="shared" si="536"/>
        <v>-31.695350414017391</v>
      </c>
      <c r="AQ318" s="23">
        <f t="shared" si="536"/>
        <v>-32.548360579168069</v>
      </c>
      <c r="AR318" s="23">
        <f t="shared" si="536"/>
        <v>-33.025966380407937</v>
      </c>
      <c r="AS318" s="23">
        <f t="shared" si="536"/>
        <v>-33.068718673065398</v>
      </c>
      <c r="AT318" s="23">
        <f t="shared" si="536"/>
        <v>-32.61118285044757</v>
      </c>
      <c r="AU318" s="8" t="s">
        <v>29</v>
      </c>
    </row>
    <row r="319" spans="1:47" ht="16.2" customHeight="1" x14ac:dyDescent="0.3">
      <c r="B319" s="24" t="s">
        <v>187</v>
      </c>
      <c r="C319" s="22">
        <v>-0.107</v>
      </c>
      <c r="D319" s="22">
        <v>-4.4999999999999998E-2</v>
      </c>
      <c r="E319" s="22">
        <v>-0.69</v>
      </c>
      <c r="F319" s="22">
        <v>-0.316</v>
      </c>
      <c r="G319" s="23">
        <f t="shared" si="524"/>
        <v>-1.1579999999999999</v>
      </c>
      <c r="H319" s="22">
        <v>-1E-3</v>
      </c>
      <c r="I319" s="22">
        <v>-0.45100000000000001</v>
      </c>
      <c r="J319" s="22">
        <v>-0.21099999999999999</v>
      </c>
      <c r="K319" s="22">
        <v>-1.0999999999999999E-2</v>
      </c>
      <c r="L319" s="23">
        <f t="shared" si="525"/>
        <v>-0.67400000000000004</v>
      </c>
      <c r="M319" s="22">
        <v>-0.95</v>
      </c>
      <c r="N319" s="22">
        <v>-0.93200000000000005</v>
      </c>
      <c r="O319" s="22">
        <v>-1.224</v>
      </c>
      <c r="P319" s="22">
        <v>-1.0660000000000001</v>
      </c>
      <c r="Q319" s="23">
        <f t="shared" si="526"/>
        <v>-4.1719999999999997</v>
      </c>
      <c r="R319" s="22">
        <v>-1.26</v>
      </c>
      <c r="S319" s="22">
        <v>-1.917</v>
      </c>
      <c r="T319" s="22">
        <v>-2.5419999999999998</v>
      </c>
      <c r="U319" s="22">
        <v>-2.0129999999999999</v>
      </c>
      <c r="V319" s="23">
        <f t="shared" si="527"/>
        <v>-7.7319999999999993</v>
      </c>
      <c r="W319" s="22">
        <v>-2.8940000000000001</v>
      </c>
      <c r="X319" s="22">
        <f>-5.597-W319</f>
        <v>-2.7030000000000003</v>
      </c>
      <c r="Y319" s="22">
        <f>-8.774-X319-W319</f>
        <v>-3.1769999999999987</v>
      </c>
      <c r="Z319" s="22">
        <f>-11.118-Y319-X319-W319</f>
        <v>-2.3440000000000012</v>
      </c>
      <c r="AA319" s="23">
        <f t="shared" si="528"/>
        <v>-11.118</v>
      </c>
      <c r="AB319" s="22">
        <v>-3.8330000000000002</v>
      </c>
      <c r="AC319" s="22">
        <f>-7.386-AB319</f>
        <v>-3.5529999999999999</v>
      </c>
      <c r="AD319" s="22">
        <f>-11.801-AC319-AB319</f>
        <v>-4.4150000000000009</v>
      </c>
      <c r="AE319" s="22">
        <f>-16.271-AD319-AC319-AB319</f>
        <v>-4.4700000000000006</v>
      </c>
      <c r="AF319" s="23">
        <f t="shared" si="529"/>
        <v>-16.271000000000001</v>
      </c>
      <c r="AG319" s="22">
        <v>-5.5039999999999996</v>
      </c>
      <c r="AH319" s="22">
        <f>AH338</f>
        <v>-3.9082173799650044</v>
      </c>
      <c r="AI319" s="22">
        <f t="shared" ref="AI319:AJ319" si="537">AI338</f>
        <v>-4.1264812063516434</v>
      </c>
      <c r="AJ319" s="22">
        <f t="shared" si="537"/>
        <v>-5.5116022770888895</v>
      </c>
      <c r="AK319" s="105">
        <f t="shared" si="531"/>
        <v>-19.050300863405536</v>
      </c>
      <c r="AL319" s="23">
        <f>AL338</f>
        <v>-19.756096860808949</v>
      </c>
      <c r="AM319" s="23">
        <f>AM338</f>
        <v>-22.469978295477109</v>
      </c>
      <c r="AN319" s="23">
        <f t="shared" ref="AN319:AT319" si="538">AN338</f>
        <v>-25.392886509801826</v>
      </c>
      <c r="AO319" s="23">
        <f t="shared" si="538"/>
        <v>-28.538185727539471</v>
      </c>
      <c r="AP319" s="23">
        <f t="shared" si="538"/>
        <v>-31.92001767573414</v>
      </c>
      <c r="AQ319" s="23">
        <f t="shared" si="538"/>
        <v>-35.553344388067202</v>
      </c>
      <c r="AR319" s="23">
        <f t="shared" si="538"/>
        <v>-39.453993289700037</v>
      </c>
      <c r="AS319" s="23">
        <f t="shared" si="538"/>
        <v>-43.638704683431705</v>
      </c>
      <c r="AT319" s="23">
        <f t="shared" si="538"/>
        <v>-48.125181763299423</v>
      </c>
      <c r="AU319" s="8" t="s">
        <v>29</v>
      </c>
    </row>
    <row r="320" spans="1:47" ht="16.2" customHeight="1" x14ac:dyDescent="0.3">
      <c r="B320" s="24" t="s">
        <v>188</v>
      </c>
      <c r="C320" s="22">
        <v>-0.10100000000000001</v>
      </c>
      <c r="D320" s="22">
        <v>-5.8000000000000003E-2</v>
      </c>
      <c r="E320" s="22">
        <v>-0.108</v>
      </c>
      <c r="F320" s="22">
        <v>-4.9000000000000002E-2</v>
      </c>
      <c r="G320" s="23">
        <f t="shared" si="524"/>
        <v>-0.316</v>
      </c>
      <c r="H320" s="22">
        <v>-5.8999999999999997E-2</v>
      </c>
      <c r="I320" s="22">
        <v>-9.1999999999999998E-2</v>
      </c>
      <c r="J320" s="22">
        <v>-0.15</v>
      </c>
      <c r="K320" s="22">
        <v>-2.5999999999999999E-2</v>
      </c>
      <c r="L320" s="23">
        <f t="shared" si="525"/>
        <v>-0.32700000000000001</v>
      </c>
      <c r="M320" s="22">
        <v>-0.42599999999999999</v>
      </c>
      <c r="N320" s="22">
        <v>-0.36599999999999999</v>
      </c>
      <c r="O320" s="22">
        <v>-0.48699999999999999</v>
      </c>
      <c r="P320" s="22">
        <v>-0.45</v>
      </c>
      <c r="Q320" s="23">
        <f t="shared" si="526"/>
        <v>-1.7289999999999999</v>
      </c>
      <c r="R320" s="22">
        <v>-0.67300000000000004</v>
      </c>
      <c r="S320" s="22">
        <v>-0.46</v>
      </c>
      <c r="T320" s="22">
        <v>-0.47099999999999997</v>
      </c>
      <c r="U320" s="22">
        <v>-0.41599999999999998</v>
      </c>
      <c r="V320" s="23">
        <f t="shared" si="527"/>
        <v>-2.02</v>
      </c>
      <c r="W320" s="22">
        <v>-0.38500000000000001</v>
      </c>
      <c r="X320" s="22">
        <f>-0.757-W320</f>
        <v>-0.372</v>
      </c>
      <c r="Y320" s="22">
        <f>-1.145-X320-W320</f>
        <v>-0.38800000000000001</v>
      </c>
      <c r="Z320" s="22">
        <f>-1.538-Y320-X320-W320</f>
        <v>-0.3929999999999999</v>
      </c>
      <c r="AA320" s="23">
        <f t="shared" si="528"/>
        <v>-1.5379999999999998</v>
      </c>
      <c r="AB320" s="22">
        <v>-0.438</v>
      </c>
      <c r="AC320" s="22">
        <f>-0.438-AB320</f>
        <v>0</v>
      </c>
      <c r="AD320" s="22">
        <f>-0.438-AC320-AB320</f>
        <v>0</v>
      </c>
      <c r="AE320" s="22">
        <f>0-AD320-AC320-AB320</f>
        <v>0.438</v>
      </c>
      <c r="AF320" s="23">
        <f t="shared" si="529"/>
        <v>0</v>
      </c>
      <c r="AG320" s="22">
        <v>0</v>
      </c>
      <c r="AH320" s="167"/>
      <c r="AI320" s="167"/>
      <c r="AJ320" s="167"/>
      <c r="AK320" s="113">
        <f t="shared" si="531"/>
        <v>0</v>
      </c>
      <c r="AL320" s="171"/>
      <c r="AM320" s="171"/>
      <c r="AN320" s="171"/>
      <c r="AO320" s="171"/>
      <c r="AP320" s="171"/>
      <c r="AQ320" s="171"/>
      <c r="AR320" s="171"/>
      <c r="AS320" s="171"/>
      <c r="AT320" s="171"/>
      <c r="AU320" s="8" t="s">
        <v>29</v>
      </c>
    </row>
    <row r="321" spans="2:47" ht="16.2" customHeight="1" x14ac:dyDescent="0.3">
      <c r="B321" s="24" t="s">
        <v>189</v>
      </c>
      <c r="C321" s="22">
        <v>-0.53300000000000003</v>
      </c>
      <c r="D321" s="22">
        <v>-0.72199999999999998</v>
      </c>
      <c r="E321" s="22">
        <v>-1.6060000000000001</v>
      </c>
      <c r="F321" s="22">
        <v>1.542</v>
      </c>
      <c r="G321" s="23">
        <f t="shared" si="524"/>
        <v>-1.3189999999999997</v>
      </c>
      <c r="H321" s="22">
        <v>-0.184</v>
      </c>
      <c r="I321" s="22">
        <v>-0.17799999999999999</v>
      </c>
      <c r="J321" s="22">
        <v>-0.61699999999999999</v>
      </c>
      <c r="K321" s="22">
        <v>-0.32500000000000001</v>
      </c>
      <c r="L321" s="23">
        <f t="shared" si="525"/>
        <v>-1.304</v>
      </c>
      <c r="M321" s="22">
        <v>-0.104</v>
      </c>
      <c r="N321" s="22">
        <v>-0.16700000000000001</v>
      </c>
      <c r="O321" s="22">
        <v>-0.85</v>
      </c>
      <c r="P321" s="22">
        <v>-0.10100000000000001</v>
      </c>
      <c r="Q321" s="23">
        <f t="shared" si="526"/>
        <v>-1.222</v>
      </c>
      <c r="R321" s="22">
        <v>-0.44500000000000001</v>
      </c>
      <c r="S321" s="22">
        <v>-0.52700000000000002</v>
      </c>
      <c r="T321" s="22">
        <v>-0.224</v>
      </c>
      <c r="U321" s="22">
        <v>-8.7999999999999995E-2</v>
      </c>
      <c r="V321" s="23">
        <f t="shared" si="527"/>
        <v>-1.284</v>
      </c>
      <c r="W321" s="22">
        <v>-0.19500000000000001</v>
      </c>
      <c r="X321" s="22">
        <f>-0.387-W321</f>
        <v>-0.192</v>
      </c>
      <c r="Y321" s="22">
        <f>-0.789-X321-W321</f>
        <v>-0.40199999999999997</v>
      </c>
      <c r="Z321" s="22">
        <f>-1.054-Y321-X321-W321</f>
        <v>-0.26500000000000012</v>
      </c>
      <c r="AA321" s="23">
        <f t="shared" si="528"/>
        <v>-1.054</v>
      </c>
      <c r="AB321" s="22">
        <v>-0.13</v>
      </c>
      <c r="AC321" s="22">
        <f>-0.646-AB321</f>
        <v>-0.51600000000000001</v>
      </c>
      <c r="AD321" s="22">
        <f>-0.98-AC321-AB321</f>
        <v>-0.33399999999999996</v>
      </c>
      <c r="AE321" s="22">
        <f>-1.17-AD321-AC321-AB321</f>
        <v>-0.18999999999999995</v>
      </c>
      <c r="AF321" s="23">
        <f t="shared" si="529"/>
        <v>-1.17</v>
      </c>
      <c r="AG321" s="22">
        <v>-0.193</v>
      </c>
      <c r="AH321" s="167"/>
      <c r="AI321" s="167"/>
      <c r="AJ321" s="167"/>
      <c r="AK321" s="113">
        <f t="shared" si="531"/>
        <v>-0.193</v>
      </c>
      <c r="AL321" s="171"/>
      <c r="AM321" s="171"/>
      <c r="AN321" s="171"/>
      <c r="AO321" s="171"/>
      <c r="AP321" s="171"/>
      <c r="AQ321" s="171"/>
      <c r="AR321" s="171"/>
      <c r="AS321" s="171"/>
      <c r="AT321" s="171"/>
      <c r="AU321" s="8" t="s">
        <v>29</v>
      </c>
    </row>
    <row r="322" spans="2:47" ht="7.95" customHeight="1" x14ac:dyDescent="0.3">
      <c r="G322" s="7"/>
      <c r="L322" s="7"/>
      <c r="Q322" s="7"/>
      <c r="V322" s="7"/>
      <c r="AA322" s="7"/>
      <c r="AF322" s="7"/>
      <c r="AK322" s="103"/>
      <c r="AL322" s="7"/>
      <c r="AM322" s="7"/>
      <c r="AN322" s="7"/>
      <c r="AO322" s="7"/>
      <c r="AP322" s="7"/>
      <c r="AQ322" s="7"/>
      <c r="AR322" s="7"/>
      <c r="AS322" s="7"/>
      <c r="AT322" s="7"/>
      <c r="AU322" s="8" t="s">
        <v>29</v>
      </c>
    </row>
    <row r="323" spans="2:47" ht="16.2" customHeight="1" x14ac:dyDescent="0.3">
      <c r="B323" s="20" t="s">
        <v>190</v>
      </c>
      <c r="C323" s="22">
        <f t="shared" ref="C323:U323" si="539">C311</f>
        <v>0.251</v>
      </c>
      <c r="D323" s="22">
        <f t="shared" si="539"/>
        <v>0.56999999999999995</v>
      </c>
      <c r="E323" s="22">
        <f t="shared" si="539"/>
        <v>0.35299999999999998</v>
      </c>
      <c r="F323" s="22">
        <f t="shared" si="539"/>
        <v>0.45100000000000001</v>
      </c>
      <c r="G323" s="23">
        <f>SUM(C323:F323)</f>
        <v>1.625</v>
      </c>
      <c r="H323" s="22">
        <f t="shared" si="539"/>
        <v>0.42299999999999999</v>
      </c>
      <c r="I323" s="22">
        <f t="shared" si="539"/>
        <v>0.65500000000000003</v>
      </c>
      <c r="J323" s="22">
        <f t="shared" si="539"/>
        <v>0.92200000000000004</v>
      </c>
      <c r="K323" s="22">
        <f t="shared" si="539"/>
        <v>1.2569999999999999</v>
      </c>
      <c r="L323" s="23">
        <f>SUM(H323:K323)</f>
        <v>3.2569999999999997</v>
      </c>
      <c r="M323" s="22">
        <f t="shared" si="539"/>
        <v>1.4750000000000001</v>
      </c>
      <c r="N323" s="22">
        <f t="shared" si="539"/>
        <v>1.702</v>
      </c>
      <c r="O323" s="22">
        <f t="shared" si="539"/>
        <v>1.9570000000000001</v>
      </c>
      <c r="P323" s="22">
        <f t="shared" si="539"/>
        <v>1.3280000000000001</v>
      </c>
      <c r="Q323" s="23">
        <f>SUM(M323:P323)</f>
        <v>6.4620000000000006</v>
      </c>
      <c r="R323" s="22">
        <f t="shared" si="539"/>
        <v>1.109</v>
      </c>
      <c r="S323" s="22">
        <f t="shared" si="539"/>
        <v>1.0860000000000001</v>
      </c>
      <c r="T323" s="22">
        <f t="shared" si="539"/>
        <v>0.98099999999999998</v>
      </c>
      <c r="U323" s="22">
        <f t="shared" si="539"/>
        <v>1.196</v>
      </c>
      <c r="V323" s="23">
        <f>SUM(R323:U323)</f>
        <v>4.3719999999999999</v>
      </c>
      <c r="W323" s="22">
        <f>W311</f>
        <v>1.5109999999999999</v>
      </c>
      <c r="X323" s="22">
        <f t="shared" ref="X323:AE323" si="540">X311</f>
        <v>1.4390000000000003</v>
      </c>
      <c r="Y323" s="22">
        <f t="shared" si="540"/>
        <v>1.1369999999999998</v>
      </c>
      <c r="Z323" s="22">
        <f t="shared" si="540"/>
        <v>0.49500000000000033</v>
      </c>
      <c r="AA323" s="23">
        <f>SUM(W323:Z323)</f>
        <v>4.5819999999999999</v>
      </c>
      <c r="AB323" s="22">
        <f t="shared" si="540"/>
        <v>0.28299999999999997</v>
      </c>
      <c r="AC323" s="22">
        <f t="shared" si="540"/>
        <v>0.62000000000000011</v>
      </c>
      <c r="AD323" s="22">
        <f t="shared" si="540"/>
        <v>0.44500000000000001</v>
      </c>
      <c r="AE323" s="22">
        <f t="shared" si="540"/>
        <v>0.10199999999999981</v>
      </c>
      <c r="AF323" s="23">
        <f>SUM(AB323:AE323)</f>
        <v>1.45</v>
      </c>
      <c r="AG323" s="22">
        <f>AG311</f>
        <v>0.10100000000000001</v>
      </c>
      <c r="AH323" s="22">
        <f>((1+AH325)^0.25-1)*AH324</f>
        <v>1.0704259609450504</v>
      </c>
      <c r="AI323" s="22">
        <f t="shared" ref="AI323:AJ323" si="541">((1+AI325)^0.25-1)*AI324</f>
        <v>1.0098100387219981</v>
      </c>
      <c r="AJ323" s="22">
        <f t="shared" si="541"/>
        <v>0.95663087975804262</v>
      </c>
      <c r="AK323" s="105">
        <f>SUM(AG323:AJ323)</f>
        <v>3.1378668794250912</v>
      </c>
      <c r="AL323" s="23">
        <f>AL325*AL324</f>
        <v>3.6273090000000003</v>
      </c>
      <c r="AM323" s="23">
        <f>AM325*AM324</f>
        <v>3.1818500000000003</v>
      </c>
      <c r="AN323" s="23">
        <f t="shared" ref="AN323:AT323" si="542">AN325*AN324</f>
        <v>3.1818500000000003</v>
      </c>
      <c r="AO323" s="23">
        <f t="shared" si="542"/>
        <v>3.1818500000000003</v>
      </c>
      <c r="AP323" s="23">
        <f t="shared" si="542"/>
        <v>3.1818500000000003</v>
      </c>
      <c r="AQ323" s="23">
        <f t="shared" si="542"/>
        <v>3.1818500000000003</v>
      </c>
      <c r="AR323" s="23">
        <f t="shared" si="542"/>
        <v>3.1818500000000003</v>
      </c>
      <c r="AS323" s="23">
        <f t="shared" si="542"/>
        <v>3.1818500000000003</v>
      </c>
      <c r="AT323" s="23">
        <f t="shared" si="542"/>
        <v>3.1818500000000003</v>
      </c>
      <c r="AU323" s="8" t="s">
        <v>29</v>
      </c>
    </row>
    <row r="324" spans="2:47" ht="16.2" customHeight="1" x14ac:dyDescent="0.3">
      <c r="B324" s="24" t="s">
        <v>191</v>
      </c>
      <c r="D324" s="22">
        <f>C126</f>
        <v>74.394999999999996</v>
      </c>
      <c r="E324" s="22">
        <f>D126</f>
        <v>86.768000000000001</v>
      </c>
      <c r="F324" s="22">
        <f>E126</f>
        <v>77.260000000000005</v>
      </c>
      <c r="G324" s="23"/>
      <c r="H324" s="22">
        <f>F126</f>
        <v>89.076999999999998</v>
      </c>
      <c r="I324" s="22">
        <f>H126</f>
        <v>85.998000000000005</v>
      </c>
      <c r="J324" s="22">
        <f>I126</f>
        <v>63.421999999999997</v>
      </c>
      <c r="K324" s="22">
        <f>J126</f>
        <v>63.2</v>
      </c>
      <c r="L324" s="23">
        <f>F126</f>
        <v>89.076999999999998</v>
      </c>
      <c r="M324" s="22">
        <f>K126</f>
        <v>66.771000000000001</v>
      </c>
      <c r="N324" s="22">
        <f>M126</f>
        <v>74.358999999999995</v>
      </c>
      <c r="O324" s="22">
        <f>N126</f>
        <v>60.670999999999999</v>
      </c>
      <c r="P324" s="22">
        <f>O126</f>
        <v>53.347000000000001</v>
      </c>
      <c r="Q324" s="23">
        <f>K126</f>
        <v>66.771000000000001</v>
      </c>
      <c r="R324" s="22">
        <f>P126</f>
        <v>60.488999999999997</v>
      </c>
      <c r="S324" s="22">
        <f>R126</f>
        <v>63.286000000000001</v>
      </c>
      <c r="T324" s="22">
        <f>S126</f>
        <v>39.929000000000002</v>
      </c>
      <c r="U324" s="22">
        <f>T126</f>
        <v>46.274000000000001</v>
      </c>
      <c r="V324" s="23">
        <f>P126</f>
        <v>60.488999999999997</v>
      </c>
      <c r="W324" s="22">
        <f>U126</f>
        <v>54.476999999999997</v>
      </c>
      <c r="X324" s="22">
        <f>W126</f>
        <v>82.179000000000002</v>
      </c>
      <c r="Y324" s="22">
        <f>X126</f>
        <v>66.988</v>
      </c>
      <c r="Z324" s="22">
        <f>Y126</f>
        <v>47.356999999999999</v>
      </c>
      <c r="AA324" s="23">
        <f>U126</f>
        <v>54.476999999999997</v>
      </c>
      <c r="AB324" s="22">
        <f>Z126</f>
        <v>23.41</v>
      </c>
      <c r="AC324" s="22">
        <f>AB126</f>
        <v>50.44</v>
      </c>
      <c r="AD324" s="22">
        <f>AC126</f>
        <v>23.673999999999999</v>
      </c>
      <c r="AE324" s="22">
        <f>AD126</f>
        <v>20.658000000000001</v>
      </c>
      <c r="AF324" s="23">
        <f>Z126</f>
        <v>23.41</v>
      </c>
      <c r="AG324" s="22">
        <f>AE126</f>
        <v>35.255000000000003</v>
      </c>
      <c r="AH324" s="22">
        <f>AG126</f>
        <v>63.637</v>
      </c>
      <c r="AI324" s="22">
        <f>AH126</f>
        <v>63.637</v>
      </c>
      <c r="AJ324" s="22">
        <f>AI126</f>
        <v>63.637</v>
      </c>
      <c r="AK324" s="105">
        <f>AE126</f>
        <v>35.255000000000003</v>
      </c>
      <c r="AL324" s="23">
        <f t="shared" ref="AL324:AT324" si="543">AK126</f>
        <v>63.637</v>
      </c>
      <c r="AM324" s="23">
        <f t="shared" si="543"/>
        <v>63.637</v>
      </c>
      <c r="AN324" s="23">
        <f t="shared" si="543"/>
        <v>63.637</v>
      </c>
      <c r="AO324" s="23">
        <f t="shared" si="543"/>
        <v>63.637</v>
      </c>
      <c r="AP324" s="23">
        <f t="shared" si="543"/>
        <v>63.637</v>
      </c>
      <c r="AQ324" s="23">
        <f t="shared" si="543"/>
        <v>63.637</v>
      </c>
      <c r="AR324" s="23">
        <f t="shared" si="543"/>
        <v>63.637</v>
      </c>
      <c r="AS324" s="23">
        <f t="shared" si="543"/>
        <v>63.637</v>
      </c>
      <c r="AT324" s="23">
        <f t="shared" si="543"/>
        <v>63.637</v>
      </c>
      <c r="AU324" s="8" t="s">
        <v>29</v>
      </c>
    </row>
    <row r="325" spans="2:47" ht="16.2" customHeight="1" x14ac:dyDescent="0.3">
      <c r="B325" s="24" t="s">
        <v>192</v>
      </c>
      <c r="D325" s="21">
        <f>(1+D323/D324)^4-1</f>
        <v>3.1001243009403545E-2</v>
      </c>
      <c r="E325" s="21">
        <f t="shared" ref="E325:AG325" si="544">(1+E323/E324)^4-1</f>
        <v>1.6372857460287049E-2</v>
      </c>
      <c r="F325" s="21">
        <f t="shared" si="544"/>
        <v>2.3554978685436323E-2</v>
      </c>
      <c r="G325" s="14"/>
      <c r="H325" s="21">
        <f t="shared" si="544"/>
        <v>1.9130532036211845E-2</v>
      </c>
      <c r="I325" s="21">
        <f t="shared" si="544"/>
        <v>3.0815657916637651E-2</v>
      </c>
      <c r="J325" s="21">
        <f t="shared" si="544"/>
        <v>5.9430543635615507E-2</v>
      </c>
      <c r="K325" s="21">
        <f t="shared" si="544"/>
        <v>8.1962081131093267E-2</v>
      </c>
      <c r="L325" s="14">
        <f>L323/L324</f>
        <v>3.6563871706501112E-2</v>
      </c>
      <c r="M325" s="21">
        <f t="shared" si="544"/>
        <v>9.1332993601865642E-2</v>
      </c>
      <c r="N325" s="21">
        <f t="shared" si="544"/>
        <v>9.4747497761322297E-2</v>
      </c>
      <c r="O325" s="21">
        <f t="shared" si="544"/>
        <v>0.13540174888720991</v>
      </c>
      <c r="P325" s="21">
        <f t="shared" si="544"/>
        <v>0.10335472780662047</v>
      </c>
      <c r="Q325" s="14">
        <f>Q323/Q324</f>
        <v>9.6778541582423522E-2</v>
      </c>
      <c r="R325" s="21">
        <f t="shared" si="544"/>
        <v>7.5377205235200861E-2</v>
      </c>
      <c r="S325" s="21">
        <f t="shared" si="544"/>
        <v>7.0427906573671706E-2</v>
      </c>
      <c r="T325" s="21">
        <f t="shared" si="544"/>
        <v>0.10195582092887956</v>
      </c>
      <c r="U325" s="21">
        <f t="shared" si="544"/>
        <v>0.10746180760602608</v>
      </c>
      <c r="V325" s="14">
        <f>V323/V324</f>
        <v>7.2277604192497805E-2</v>
      </c>
      <c r="W325" s="21">
        <f t="shared" si="544"/>
        <v>0.11564772022972925</v>
      </c>
      <c r="X325" s="21">
        <f t="shared" si="544"/>
        <v>7.1903512708220818E-2</v>
      </c>
      <c r="Y325" s="21">
        <f t="shared" si="544"/>
        <v>6.9640933989250531E-2</v>
      </c>
      <c r="Z325" s="21">
        <f t="shared" si="544"/>
        <v>4.2470191853158923E-2</v>
      </c>
      <c r="AA325" s="14">
        <f>AA323/AA324</f>
        <v>8.4108889990271121E-2</v>
      </c>
      <c r="AB325" s="21">
        <f t="shared" si="544"/>
        <v>4.9239333603799729E-2</v>
      </c>
      <c r="AC325" s="21">
        <f t="shared" si="544"/>
        <v>5.0081313780271586E-2</v>
      </c>
      <c r="AD325" s="21">
        <f t="shared" si="544"/>
        <v>7.7334622257070773E-2</v>
      </c>
      <c r="AE325" s="21">
        <f t="shared" si="544"/>
        <v>1.9896976591145643E-2</v>
      </c>
      <c r="AF325" s="14">
        <f>AF323/AF324</f>
        <v>6.1939342161469457E-2</v>
      </c>
      <c r="AG325" s="21">
        <f t="shared" si="544"/>
        <v>1.1508705497168314E-2</v>
      </c>
      <c r="AH325" s="84">
        <f>(AH326*AH$6)</f>
        <v>6.9000000000000006E-2</v>
      </c>
      <c r="AI325" s="84">
        <f t="shared" ref="AI325:AJ325" si="545">(AI326*AI$6)</f>
        <v>6.5000000000000002E-2</v>
      </c>
      <c r="AJ325" s="84">
        <f t="shared" si="545"/>
        <v>6.1499999999999999E-2</v>
      </c>
      <c r="AK325" s="112">
        <f>AK323/AK324</f>
        <v>8.9004875320524493E-2</v>
      </c>
      <c r="AL325" s="85">
        <f t="shared" ref="AL325:AT325" si="546">AL326*AL6</f>
        <v>5.7000000000000002E-2</v>
      </c>
      <c r="AM325" s="85">
        <f t="shared" si="546"/>
        <v>0.05</v>
      </c>
      <c r="AN325" s="85">
        <f t="shared" si="546"/>
        <v>0.05</v>
      </c>
      <c r="AO325" s="85">
        <f t="shared" si="546"/>
        <v>0.05</v>
      </c>
      <c r="AP325" s="85">
        <f t="shared" si="546"/>
        <v>0.05</v>
      </c>
      <c r="AQ325" s="85">
        <f t="shared" si="546"/>
        <v>0.05</v>
      </c>
      <c r="AR325" s="85">
        <f t="shared" si="546"/>
        <v>0.05</v>
      </c>
      <c r="AS325" s="85">
        <f t="shared" si="546"/>
        <v>0.05</v>
      </c>
      <c r="AT325" s="85">
        <f t="shared" si="546"/>
        <v>0.05</v>
      </c>
      <c r="AU325" s="8" t="s">
        <v>29</v>
      </c>
    </row>
    <row r="326" spans="2:47" ht="16.2" customHeight="1" x14ac:dyDescent="0.3">
      <c r="B326" s="86" t="s">
        <v>193</v>
      </c>
      <c r="D326" s="84">
        <f>D325/D$6</f>
        <v>1.0095355953926188</v>
      </c>
      <c r="E326" s="84">
        <f t="shared" ref="E326:AG326" si="547">E325/E$6</f>
        <v>0.84385172489381033</v>
      </c>
      <c r="F326" s="84">
        <f t="shared" si="547"/>
        <v>1.1828521948191422</v>
      </c>
      <c r="G326" s="85"/>
      <c r="H326" s="84">
        <f t="shared" si="547"/>
        <v>0.95652660181059224</v>
      </c>
      <c r="I326" s="84">
        <f t="shared" si="547"/>
        <v>0.88044736904679</v>
      </c>
      <c r="J326" s="84">
        <f t="shared" si="547"/>
        <v>1.1886108727123101</v>
      </c>
      <c r="K326" s="84">
        <f t="shared" si="547"/>
        <v>1.0575752404012035</v>
      </c>
      <c r="L326" s="85">
        <f>L325/L6</f>
        <v>0.80139992781372305</v>
      </c>
      <c r="M326" s="84">
        <f t="shared" si="547"/>
        <v>0.86983803430348239</v>
      </c>
      <c r="N326" s="84">
        <f t="shared" si="547"/>
        <v>0.75797998209057837</v>
      </c>
      <c r="O326" s="84">
        <f t="shared" si="547"/>
        <v>0.99560109475889624</v>
      </c>
      <c r="P326" s="84">
        <f t="shared" si="547"/>
        <v>0.75167074768451247</v>
      </c>
      <c r="Q326" s="85">
        <f>Q325/Q6</f>
        <v>0.76884640780475477</v>
      </c>
      <c r="R326" s="84">
        <f t="shared" si="547"/>
        <v>0.54819785625600626</v>
      </c>
      <c r="S326" s="84">
        <f t="shared" si="547"/>
        <v>0.51220295689943052</v>
      </c>
      <c r="T326" s="84">
        <f t="shared" si="547"/>
        <v>0.76947789380286458</v>
      </c>
      <c r="U326" s="84">
        <f t="shared" si="547"/>
        <v>0.91456857537043479</v>
      </c>
      <c r="V326" s="85">
        <f>V325/V6</f>
        <v>0.55068650813331654</v>
      </c>
      <c r="W326" s="84">
        <f t="shared" si="547"/>
        <v>1.0418713534209842</v>
      </c>
      <c r="X326" s="84">
        <f t="shared" si="547"/>
        <v>0.67833502554925307</v>
      </c>
      <c r="Y326" s="84">
        <f t="shared" si="547"/>
        <v>0.65823189025756645</v>
      </c>
      <c r="Z326" s="84">
        <f t="shared" si="547"/>
        <v>0.37254554257156947</v>
      </c>
      <c r="AA326" s="85">
        <f>AA325/AA6</f>
        <v>0.77022793031383818</v>
      </c>
      <c r="AB326" s="84">
        <f t="shared" si="547"/>
        <v>0.36205392355735094</v>
      </c>
      <c r="AC326" s="84">
        <f t="shared" si="547"/>
        <v>0.34068920938960262</v>
      </c>
      <c r="AD326" s="84">
        <f t="shared" si="547"/>
        <v>0.51556414838047182</v>
      </c>
      <c r="AE326" s="84">
        <f t="shared" si="547"/>
        <v>0.13264651060763763</v>
      </c>
      <c r="AF326" s="85">
        <f>AF325/AF6</f>
        <v>0.42496975754009914</v>
      </c>
      <c r="AG326" s="84">
        <f t="shared" si="547"/>
        <v>7.7604217782658899E-2</v>
      </c>
      <c r="AH326" s="26">
        <v>0.5</v>
      </c>
      <c r="AI326" s="65">
        <f>AH326</f>
        <v>0.5</v>
      </c>
      <c r="AJ326" s="65">
        <f t="shared" ref="AJ326" si="548">AI326</f>
        <v>0.5</v>
      </c>
      <c r="AK326" s="112">
        <f>AK325/AK6</f>
        <v>0.66015112420192468</v>
      </c>
      <c r="AL326" s="27">
        <v>0.5</v>
      </c>
      <c r="AM326" s="79">
        <f>AL326</f>
        <v>0.5</v>
      </c>
      <c r="AN326" s="79">
        <f t="shared" ref="AN326:AT326" si="549">AM326</f>
        <v>0.5</v>
      </c>
      <c r="AO326" s="79">
        <f t="shared" si="549"/>
        <v>0.5</v>
      </c>
      <c r="AP326" s="79">
        <f t="shared" si="549"/>
        <v>0.5</v>
      </c>
      <c r="AQ326" s="79">
        <f t="shared" si="549"/>
        <v>0.5</v>
      </c>
      <c r="AR326" s="79">
        <f t="shared" si="549"/>
        <v>0.5</v>
      </c>
      <c r="AS326" s="79">
        <f t="shared" si="549"/>
        <v>0.5</v>
      </c>
      <c r="AT326" s="79">
        <f t="shared" si="549"/>
        <v>0.5</v>
      </c>
      <c r="AU326" s="8" t="s">
        <v>29</v>
      </c>
    </row>
    <row r="327" spans="2:47" ht="7.95" customHeight="1" x14ac:dyDescent="0.3">
      <c r="B327" s="20"/>
      <c r="G327" s="7"/>
      <c r="L327" s="7"/>
      <c r="Q327" s="7"/>
      <c r="V327" s="7"/>
      <c r="AA327" s="7"/>
      <c r="AF327" s="7"/>
      <c r="AK327" s="103"/>
      <c r="AL327" s="7"/>
      <c r="AM327" s="7"/>
      <c r="AN327" s="7"/>
      <c r="AO327" s="7"/>
      <c r="AP327" s="7"/>
      <c r="AQ327" s="7"/>
      <c r="AR327" s="7"/>
      <c r="AS327" s="7"/>
      <c r="AT327" s="7"/>
      <c r="AU327" s="8" t="s">
        <v>29</v>
      </c>
    </row>
    <row r="328" spans="2:47" ht="16.2" customHeight="1" x14ac:dyDescent="0.3">
      <c r="B328" s="20" t="s">
        <v>185</v>
      </c>
      <c r="C328" s="22">
        <f>C317</f>
        <v>0</v>
      </c>
      <c r="D328" s="22">
        <f t="shared" ref="D328:AG328" si="550">D317</f>
        <v>0</v>
      </c>
      <c r="E328" s="22">
        <f t="shared" si="550"/>
        <v>0</v>
      </c>
      <c r="F328" s="22">
        <f t="shared" si="550"/>
        <v>-2.952</v>
      </c>
      <c r="G328" s="23">
        <f>SUM(C328:F328)</f>
        <v>-2.952</v>
      </c>
      <c r="H328" s="22">
        <f t="shared" si="550"/>
        <v>-1.6E-2</v>
      </c>
      <c r="I328" s="22">
        <f t="shared" si="550"/>
        <v>-4.4999999999999998E-2</v>
      </c>
      <c r="J328" s="22">
        <f t="shared" si="550"/>
        <v>1.0999999999999999E-2</v>
      </c>
      <c r="K328" s="22">
        <f t="shared" si="550"/>
        <v>0</v>
      </c>
      <c r="L328" s="23">
        <f>SUM(H328:K328)</f>
        <v>-0.05</v>
      </c>
      <c r="M328" s="22">
        <f t="shared" si="550"/>
        <v>-1.0999999999999999E-2</v>
      </c>
      <c r="N328" s="22">
        <f t="shared" si="550"/>
        <v>-8.9999999999999993E-3</v>
      </c>
      <c r="O328" s="22">
        <f t="shared" si="550"/>
        <v>-1.4E-2</v>
      </c>
      <c r="P328" s="22">
        <f t="shared" si="550"/>
        <v>-1.4E-2</v>
      </c>
      <c r="Q328" s="23">
        <f>SUM(M328:P328)</f>
        <v>-4.7999999999999994E-2</v>
      </c>
      <c r="R328" s="22">
        <f t="shared" si="550"/>
        <v>-6.5000000000000002E-2</v>
      </c>
      <c r="S328" s="22">
        <f t="shared" si="550"/>
        <v>-8.0000000000000002E-3</v>
      </c>
      <c r="T328" s="22">
        <f t="shared" si="550"/>
        <v>-5.5E-2</v>
      </c>
      <c r="U328" s="22">
        <f t="shared" si="550"/>
        <v>-1.2999999999999999E-2</v>
      </c>
      <c r="V328" s="23">
        <f>SUM(R328:U328)</f>
        <v>-0.14100000000000001</v>
      </c>
      <c r="W328" s="22">
        <f t="shared" si="550"/>
        <v>0</v>
      </c>
      <c r="X328" s="22">
        <f t="shared" si="550"/>
        <v>0</v>
      </c>
      <c r="Y328" s="22">
        <f t="shared" si="550"/>
        <v>0</v>
      </c>
      <c r="Z328" s="22">
        <f t="shared" si="550"/>
        <v>0</v>
      </c>
      <c r="AA328" s="23">
        <f>SUM(W328:Z328)</f>
        <v>0</v>
      </c>
      <c r="AB328" s="22">
        <f t="shared" si="550"/>
        <v>0</v>
      </c>
      <c r="AC328" s="22">
        <f t="shared" si="550"/>
        <v>0</v>
      </c>
      <c r="AD328" s="22">
        <f t="shared" si="550"/>
        <v>0</v>
      </c>
      <c r="AE328" s="22">
        <f t="shared" si="550"/>
        <v>0</v>
      </c>
      <c r="AF328" s="23">
        <f>SUM(AB328:AE328)</f>
        <v>0</v>
      </c>
      <c r="AG328" s="22">
        <f t="shared" si="550"/>
        <v>0</v>
      </c>
      <c r="AH328" s="22">
        <f>-((1+AH330)^0.25-1)*AH329</f>
        <v>0</v>
      </c>
      <c r="AI328" s="22">
        <f ca="1">-((1+AI330)^0.25-1)*AI329</f>
        <v>-0.33978617222004015</v>
      </c>
      <c r="AJ328" s="22">
        <f t="shared" ref="AJ328" ca="1" si="551">-((1+AJ330)^0.25-1)*AJ329</f>
        <v>-0.64465621226887482</v>
      </c>
      <c r="AK328" s="105">
        <f ca="1">SUM(AG328:AJ328)</f>
        <v>-0.98444238448891497</v>
      </c>
      <c r="AL328" s="23">
        <f ca="1">-AL330*AL329</f>
        <v>-4.4688564371166084</v>
      </c>
      <c r="AM328" s="23">
        <f ca="1">-AM330*AM329</f>
        <v>-5.9960795062426389</v>
      </c>
      <c r="AN328" s="23">
        <f t="shared" ref="AN328:AT328" ca="1" si="552">-AN330*AN329</f>
        <v>-5.9960795062426389</v>
      </c>
      <c r="AO328" s="23">
        <f t="shared" ca="1" si="552"/>
        <v>-5.9960795062426389</v>
      </c>
      <c r="AP328" s="23">
        <f t="shared" ca="1" si="552"/>
        <v>-5.9960795062426389</v>
      </c>
      <c r="AQ328" s="23">
        <f t="shared" ca="1" si="552"/>
        <v>-5.9960795062426389</v>
      </c>
      <c r="AR328" s="23">
        <f t="shared" ca="1" si="552"/>
        <v>-5.9960795062426389</v>
      </c>
      <c r="AS328" s="23">
        <f t="shared" ca="1" si="552"/>
        <v>-5.9960795062426389</v>
      </c>
      <c r="AT328" s="23">
        <f t="shared" ca="1" si="552"/>
        <v>-5.9960795062426389</v>
      </c>
      <c r="AU328" s="8" t="s">
        <v>29</v>
      </c>
    </row>
    <row r="329" spans="2:47" ht="16.2" customHeight="1" x14ac:dyDescent="0.3">
      <c r="B329" s="24" t="s">
        <v>194</v>
      </c>
      <c r="D329" s="22">
        <f>C128</f>
        <v>0</v>
      </c>
      <c r="E329" s="22">
        <f>D128</f>
        <v>30.225000000000001</v>
      </c>
      <c r="F329" s="22">
        <f>E128</f>
        <v>30.454999999999998</v>
      </c>
      <c r="G329" s="23"/>
      <c r="H329" s="22">
        <f>F128</f>
        <v>0</v>
      </c>
      <c r="I329" s="22">
        <f>H128</f>
        <v>0</v>
      </c>
      <c r="J329" s="22">
        <f>I128</f>
        <v>0</v>
      </c>
      <c r="K329" s="22">
        <f>J128</f>
        <v>0</v>
      </c>
      <c r="L329" s="23">
        <f>F128</f>
        <v>0</v>
      </c>
      <c r="M329" s="22">
        <f>K128</f>
        <v>0</v>
      </c>
      <c r="N329" s="22">
        <f>M128</f>
        <v>0</v>
      </c>
      <c r="O329" s="22">
        <f>N128</f>
        <v>0</v>
      </c>
      <c r="P329" s="22">
        <f>O128</f>
        <v>0</v>
      </c>
      <c r="Q329" s="23">
        <f>K128</f>
        <v>0</v>
      </c>
      <c r="R329" s="22">
        <f>P128</f>
        <v>0</v>
      </c>
      <c r="S329" s="22">
        <f>R128</f>
        <v>0</v>
      </c>
      <c r="T329" s="22">
        <f>S128</f>
        <v>0</v>
      </c>
      <c r="U329" s="22">
        <f>T128</f>
        <v>0</v>
      </c>
      <c r="V329" s="23">
        <f>P128</f>
        <v>0</v>
      </c>
      <c r="W329" s="22">
        <f>U128</f>
        <v>0</v>
      </c>
      <c r="X329" s="22">
        <f>W128</f>
        <v>0</v>
      </c>
      <c r="Y329" s="22">
        <f>X128</f>
        <v>0</v>
      </c>
      <c r="Z329" s="22">
        <f>Y128</f>
        <v>0</v>
      </c>
      <c r="AA329" s="23">
        <f>U128</f>
        <v>0</v>
      </c>
      <c r="AB329" s="22">
        <f>Z128</f>
        <v>0</v>
      </c>
      <c r="AC329" s="22">
        <f>AB128</f>
        <v>0</v>
      </c>
      <c r="AD329" s="22">
        <f>AC128</f>
        <v>0</v>
      </c>
      <c r="AE329" s="22">
        <f>AD128</f>
        <v>0</v>
      </c>
      <c r="AF329" s="23">
        <f>Z128</f>
        <v>0</v>
      </c>
      <c r="AG329" s="22">
        <f>AE128</f>
        <v>0</v>
      </c>
      <c r="AH329" s="22">
        <f>AG128</f>
        <v>0</v>
      </c>
      <c r="AI329" s="22">
        <f ca="1">AH128</f>
        <v>10</v>
      </c>
      <c r="AJ329" s="22">
        <f ca="1">AI128</f>
        <v>20</v>
      </c>
      <c r="AK329" s="105">
        <f>AE128</f>
        <v>0</v>
      </c>
      <c r="AL329" s="23">
        <f t="shared" ref="AL329:AT329" ca="1" si="553">AK128</f>
        <v>35.636813693114895</v>
      </c>
      <c r="AM329" s="23">
        <f t="shared" ca="1" si="553"/>
        <v>54.509813693114893</v>
      </c>
      <c r="AN329" s="23">
        <f t="shared" ca="1" si="553"/>
        <v>54.509813693114893</v>
      </c>
      <c r="AO329" s="23">
        <f t="shared" ca="1" si="553"/>
        <v>54.509813693114893</v>
      </c>
      <c r="AP329" s="23">
        <f t="shared" ca="1" si="553"/>
        <v>54.509813693114893</v>
      </c>
      <c r="AQ329" s="23">
        <f t="shared" ca="1" si="553"/>
        <v>54.509813693114893</v>
      </c>
      <c r="AR329" s="23">
        <f t="shared" ca="1" si="553"/>
        <v>54.509813693114893</v>
      </c>
      <c r="AS329" s="23">
        <f t="shared" ca="1" si="553"/>
        <v>54.509813693114893</v>
      </c>
      <c r="AT329" s="23">
        <f t="shared" ca="1" si="553"/>
        <v>54.509813693114893</v>
      </c>
      <c r="AU329" s="8" t="s">
        <v>29</v>
      </c>
    </row>
    <row r="330" spans="2:47" ht="16.2" customHeight="1" x14ac:dyDescent="0.3">
      <c r="B330" s="24" t="s">
        <v>195</v>
      </c>
      <c r="D330" s="21" t="e">
        <f>(1+D328/D329)^4-1</f>
        <v>#DIV/0!</v>
      </c>
      <c r="E330" s="21">
        <f t="shared" ref="E330:F330" si="554">(1+E328/E329)^4-1</f>
        <v>0</v>
      </c>
      <c r="F330" s="21">
        <f t="shared" si="554"/>
        <v>-0.33490166603050542</v>
      </c>
      <c r="G330" s="14"/>
      <c r="H330" s="21" t="e">
        <f t="shared" ref="H330:K330" si="555">(1+H328/H329)^4-1</f>
        <v>#DIV/0!</v>
      </c>
      <c r="I330" s="21" t="e">
        <f t="shared" si="555"/>
        <v>#DIV/0!</v>
      </c>
      <c r="J330" s="21" t="e">
        <f t="shared" si="555"/>
        <v>#DIV/0!</v>
      </c>
      <c r="K330" s="21" t="e">
        <f t="shared" si="555"/>
        <v>#DIV/0!</v>
      </c>
      <c r="L330" s="14"/>
      <c r="M330" s="21" t="e">
        <f t="shared" ref="M330:P330" si="556">(1+M328/M329)^4-1</f>
        <v>#DIV/0!</v>
      </c>
      <c r="N330" s="21" t="e">
        <f t="shared" si="556"/>
        <v>#DIV/0!</v>
      </c>
      <c r="O330" s="21" t="e">
        <f t="shared" si="556"/>
        <v>#DIV/0!</v>
      </c>
      <c r="P330" s="21" t="e">
        <f t="shared" si="556"/>
        <v>#DIV/0!</v>
      </c>
      <c r="Q330" s="14"/>
      <c r="R330" s="21" t="e">
        <f t="shared" ref="R330:U330" si="557">(1+R328/R329)^4-1</f>
        <v>#DIV/0!</v>
      </c>
      <c r="S330" s="21" t="e">
        <f t="shared" si="557"/>
        <v>#DIV/0!</v>
      </c>
      <c r="T330" s="21" t="e">
        <f t="shared" si="557"/>
        <v>#DIV/0!</v>
      </c>
      <c r="U330" s="21" t="e">
        <f t="shared" si="557"/>
        <v>#DIV/0!</v>
      </c>
      <c r="V330" s="14"/>
      <c r="W330" s="21" t="e">
        <f t="shared" ref="W330:Z330" si="558">(1+W328/W329)^4-1</f>
        <v>#DIV/0!</v>
      </c>
      <c r="X330" s="21" t="e">
        <f t="shared" si="558"/>
        <v>#DIV/0!</v>
      </c>
      <c r="Y330" s="21" t="e">
        <f t="shared" si="558"/>
        <v>#DIV/0!</v>
      </c>
      <c r="Z330" s="21" t="e">
        <f t="shared" si="558"/>
        <v>#DIV/0!</v>
      </c>
      <c r="AA330" s="14" t="e">
        <f>AA328/AA329</f>
        <v>#DIV/0!</v>
      </c>
      <c r="AB330" s="21" t="e">
        <f t="shared" ref="AB330:AE330" si="559">(1+AB328/AB329)^4-1</f>
        <v>#DIV/0!</v>
      </c>
      <c r="AC330" s="21" t="e">
        <f t="shared" si="559"/>
        <v>#DIV/0!</v>
      </c>
      <c r="AD330" s="21" t="e">
        <f t="shared" si="559"/>
        <v>#DIV/0!</v>
      </c>
      <c r="AE330" s="21" t="e">
        <f t="shared" si="559"/>
        <v>#DIV/0!</v>
      </c>
      <c r="AF330" s="14" t="e">
        <f>AF328/AF329</f>
        <v>#DIV/0!</v>
      </c>
      <c r="AG330" s="21" t="e">
        <f t="shared" ref="AG330" si="560">(1+AG328/AG329)^4-1</f>
        <v>#DIV/0!</v>
      </c>
      <c r="AH330" s="84">
        <f>(AH331*AH$6)</f>
        <v>0.15180000000000002</v>
      </c>
      <c r="AI330" s="84">
        <f t="shared" ref="AI330:AJ330" si="561">(AI331*AI$6)</f>
        <v>0.14300000000000002</v>
      </c>
      <c r="AJ330" s="84">
        <f t="shared" si="561"/>
        <v>0.1353</v>
      </c>
      <c r="AK330" s="112" t="e">
        <f ca="1">AK328/AK329</f>
        <v>#DIV/0!</v>
      </c>
      <c r="AL330" s="85">
        <f t="shared" ref="AL330:AT330" si="562">AL331*AL6</f>
        <v>0.12540000000000001</v>
      </c>
      <c r="AM330" s="85">
        <f t="shared" si="562"/>
        <v>0.11000000000000001</v>
      </c>
      <c r="AN330" s="85">
        <f t="shared" si="562"/>
        <v>0.11000000000000001</v>
      </c>
      <c r="AO330" s="85">
        <f t="shared" si="562"/>
        <v>0.11000000000000001</v>
      </c>
      <c r="AP330" s="85">
        <f t="shared" si="562"/>
        <v>0.11000000000000001</v>
      </c>
      <c r="AQ330" s="85">
        <f t="shared" si="562"/>
        <v>0.11000000000000001</v>
      </c>
      <c r="AR330" s="85">
        <f t="shared" si="562"/>
        <v>0.11000000000000001</v>
      </c>
      <c r="AS330" s="85">
        <f t="shared" si="562"/>
        <v>0.11000000000000001</v>
      </c>
      <c r="AT330" s="85">
        <f t="shared" si="562"/>
        <v>0.11000000000000001</v>
      </c>
      <c r="AU330" s="8" t="s">
        <v>29</v>
      </c>
    </row>
    <row r="331" spans="2:47" ht="16.2" customHeight="1" x14ac:dyDescent="0.3">
      <c r="B331" s="86" t="s">
        <v>193</v>
      </c>
      <c r="D331" s="84" t="e">
        <f>D330/D$6</f>
        <v>#DIV/0!</v>
      </c>
      <c r="E331" s="84">
        <f t="shared" ref="E331:F331" si="563">E330/E$6</f>
        <v>0</v>
      </c>
      <c r="F331" s="84">
        <f t="shared" si="563"/>
        <v>-16.8176408054955</v>
      </c>
      <c r="G331" s="85"/>
      <c r="H331" s="84" t="e">
        <f t="shared" ref="H331:K331" si="564">H330/H$6</f>
        <v>#DIV/0!</v>
      </c>
      <c r="I331" s="84" t="e">
        <f t="shared" si="564"/>
        <v>#DIV/0!</v>
      </c>
      <c r="J331" s="84" t="e">
        <f t="shared" si="564"/>
        <v>#DIV/0!</v>
      </c>
      <c r="K331" s="84" t="e">
        <f t="shared" si="564"/>
        <v>#DIV/0!</v>
      </c>
      <c r="L331" s="85"/>
      <c r="M331" s="84" t="e">
        <f t="shared" ref="M331:P331" si="565">M330/M$6</f>
        <v>#DIV/0!</v>
      </c>
      <c r="N331" s="84" t="e">
        <f t="shared" si="565"/>
        <v>#DIV/0!</v>
      </c>
      <c r="O331" s="84" t="e">
        <f t="shared" si="565"/>
        <v>#DIV/0!</v>
      </c>
      <c r="P331" s="84" t="e">
        <f t="shared" si="565"/>
        <v>#DIV/0!</v>
      </c>
      <c r="Q331" s="85"/>
      <c r="R331" s="84" t="e">
        <f t="shared" ref="R331:U331" si="566">R330/R$6</f>
        <v>#DIV/0!</v>
      </c>
      <c r="S331" s="84" t="e">
        <f t="shared" si="566"/>
        <v>#DIV/0!</v>
      </c>
      <c r="T331" s="84" t="e">
        <f t="shared" si="566"/>
        <v>#DIV/0!</v>
      </c>
      <c r="U331" s="84" t="e">
        <f t="shared" si="566"/>
        <v>#DIV/0!</v>
      </c>
      <c r="V331" s="85"/>
      <c r="W331" s="84" t="e">
        <f t="shared" ref="W331:Z331" si="567">W330/W$6</f>
        <v>#DIV/0!</v>
      </c>
      <c r="X331" s="84" t="e">
        <f t="shared" si="567"/>
        <v>#DIV/0!</v>
      </c>
      <c r="Y331" s="84" t="e">
        <f t="shared" si="567"/>
        <v>#DIV/0!</v>
      </c>
      <c r="Z331" s="84" t="e">
        <f t="shared" si="567"/>
        <v>#DIV/0!</v>
      </c>
      <c r="AA331" s="85" t="e">
        <f>AA330/AA6</f>
        <v>#DIV/0!</v>
      </c>
      <c r="AB331" s="84" t="e">
        <f t="shared" ref="AB331:AE331" si="568">AB330/AB$6</f>
        <v>#DIV/0!</v>
      </c>
      <c r="AC331" s="84" t="e">
        <f t="shared" si="568"/>
        <v>#DIV/0!</v>
      </c>
      <c r="AD331" s="84" t="e">
        <f t="shared" si="568"/>
        <v>#DIV/0!</v>
      </c>
      <c r="AE331" s="84" t="e">
        <f t="shared" si="568"/>
        <v>#DIV/0!</v>
      </c>
      <c r="AF331" s="85" t="e">
        <f>AF330/AF6</f>
        <v>#DIV/0!</v>
      </c>
      <c r="AG331" s="84" t="e">
        <f t="shared" ref="AG331" si="569">AG330/AG$6</f>
        <v>#DIV/0!</v>
      </c>
      <c r="AH331" s="26">
        <v>1.1000000000000001</v>
      </c>
      <c r="AI331" s="65">
        <f>AH331</f>
        <v>1.1000000000000001</v>
      </c>
      <c r="AJ331" s="65">
        <f t="shared" ref="AJ331" si="570">AI331</f>
        <v>1.1000000000000001</v>
      </c>
      <c r="AK331" s="112" t="e">
        <f ca="1">AK330/AK6</f>
        <v>#DIV/0!</v>
      </c>
      <c r="AL331" s="27">
        <v>1.1000000000000001</v>
      </c>
      <c r="AM331" s="79">
        <f>AL331</f>
        <v>1.1000000000000001</v>
      </c>
      <c r="AN331" s="79">
        <f t="shared" ref="AN331:AT331" si="571">AM331</f>
        <v>1.1000000000000001</v>
      </c>
      <c r="AO331" s="79">
        <f t="shared" si="571"/>
        <v>1.1000000000000001</v>
      </c>
      <c r="AP331" s="79">
        <f t="shared" si="571"/>
        <v>1.1000000000000001</v>
      </c>
      <c r="AQ331" s="79">
        <f t="shared" si="571"/>
        <v>1.1000000000000001</v>
      </c>
      <c r="AR331" s="79">
        <f t="shared" si="571"/>
        <v>1.1000000000000001</v>
      </c>
      <c r="AS331" s="79">
        <f t="shared" si="571"/>
        <v>1.1000000000000001</v>
      </c>
      <c r="AT331" s="79">
        <f t="shared" si="571"/>
        <v>1.1000000000000001</v>
      </c>
      <c r="AU331" s="8" t="s">
        <v>29</v>
      </c>
    </row>
    <row r="332" spans="2:47" ht="7.95" customHeight="1" x14ac:dyDescent="0.3">
      <c r="G332" s="7"/>
      <c r="L332" s="7"/>
      <c r="Q332" s="7"/>
      <c r="V332" s="7"/>
      <c r="AA332" s="7"/>
      <c r="AF332" s="7"/>
      <c r="AK332" s="103"/>
      <c r="AL332" s="7"/>
      <c r="AM332" s="7"/>
      <c r="AN332" s="7"/>
      <c r="AO332" s="7"/>
      <c r="AP332" s="7"/>
      <c r="AQ332" s="7"/>
      <c r="AR332" s="7"/>
      <c r="AS332" s="7"/>
      <c r="AT332" s="7"/>
      <c r="AU332" s="8" t="s">
        <v>29</v>
      </c>
    </row>
    <row r="333" spans="2:47" ht="16.2" customHeight="1" x14ac:dyDescent="0.3">
      <c r="B333" s="20" t="s">
        <v>186</v>
      </c>
      <c r="C333" s="22">
        <f>C318</f>
        <v>-1.224</v>
      </c>
      <c r="D333" s="22">
        <f t="shared" ref="D333:AG333" si="572">D318</f>
        <v>-1.1779999999999999</v>
      </c>
      <c r="E333" s="22">
        <f t="shared" si="572"/>
        <v>-1.482</v>
      </c>
      <c r="F333" s="22">
        <f t="shared" si="572"/>
        <v>-1.22</v>
      </c>
      <c r="G333" s="23">
        <f>SUM(C333:F333)</f>
        <v>-5.1040000000000001</v>
      </c>
      <c r="H333" s="22">
        <f t="shared" si="572"/>
        <v>-1.139</v>
      </c>
      <c r="I333" s="22">
        <f t="shared" si="572"/>
        <v>-1.657</v>
      </c>
      <c r="J333" s="22">
        <f t="shared" si="572"/>
        <v>-1.778</v>
      </c>
      <c r="K333" s="22">
        <f t="shared" si="572"/>
        <v>-1.327</v>
      </c>
      <c r="L333" s="23">
        <f>SUM(H333:K333)</f>
        <v>-5.9009999999999998</v>
      </c>
      <c r="M333" s="22">
        <f t="shared" si="572"/>
        <v>-1.9019999999999999</v>
      </c>
      <c r="N333" s="22">
        <f t="shared" si="572"/>
        <v>-1.976</v>
      </c>
      <c r="O333" s="22">
        <f t="shared" si="572"/>
        <v>-1.8120000000000001</v>
      </c>
      <c r="P333" s="22">
        <f t="shared" si="572"/>
        <v>-2.1989999999999998</v>
      </c>
      <c r="Q333" s="23">
        <f>SUM(M333:P333)</f>
        <v>-7.8890000000000002</v>
      </c>
      <c r="R333" s="22">
        <f t="shared" si="572"/>
        <v>-2.2029999999999998</v>
      </c>
      <c r="S333" s="22">
        <f t="shared" si="572"/>
        <v>-2.1859999999999999</v>
      </c>
      <c r="T333" s="22">
        <f t="shared" si="572"/>
        <v>-2.5390000000000001</v>
      </c>
      <c r="U333" s="22">
        <f t="shared" si="572"/>
        <v>-2.645</v>
      </c>
      <c r="V333" s="23">
        <f>SUM(R333:U333)</f>
        <v>-9.5729999999999986</v>
      </c>
      <c r="W333" s="22">
        <f t="shared" si="572"/>
        <v>-2.6070000000000002</v>
      </c>
      <c r="X333" s="22">
        <f t="shared" si="572"/>
        <v>-2.9829999999999997</v>
      </c>
      <c r="Y333" s="22">
        <f t="shared" si="572"/>
        <v>-3.1859999999999999</v>
      </c>
      <c r="Z333" s="22">
        <f t="shared" si="572"/>
        <v>-3.4809999999999999</v>
      </c>
      <c r="AA333" s="23">
        <f>SUM(W333:Z333)</f>
        <v>-12.257</v>
      </c>
      <c r="AB333" s="22">
        <f t="shared" si="572"/>
        <v>-4.3890000000000002</v>
      </c>
      <c r="AC333" s="22">
        <f t="shared" si="572"/>
        <v>-3.8180000000000005</v>
      </c>
      <c r="AD333" s="22">
        <f t="shared" si="572"/>
        <v>-4.5330000000000004</v>
      </c>
      <c r="AE333" s="22">
        <f t="shared" si="572"/>
        <v>-5.2399999999999975</v>
      </c>
      <c r="AF333" s="23">
        <f>SUM(AB333:AE333)</f>
        <v>-17.98</v>
      </c>
      <c r="AG333" s="22">
        <f t="shared" si="572"/>
        <v>-5.5259999999999998</v>
      </c>
      <c r="AH333" s="22">
        <f>((1+AH335)^0.25-1)*AH334</f>
        <v>-5.7818671362281062</v>
      </c>
      <c r="AI333" s="22">
        <f t="shared" ref="AI333:AJ333" si="573">((1+AI335)^0.25-1)*AI334</f>
        <v>-5.7818671362281062</v>
      </c>
      <c r="AJ333" s="22">
        <f t="shared" si="573"/>
        <v>-6.265638561657032</v>
      </c>
      <c r="AK333" s="105">
        <f>SUM(AG333:AJ333)</f>
        <v>-23.355372834113243</v>
      </c>
      <c r="AL333" s="23">
        <f>AL335*AL334</f>
        <v>-25.533842748479017</v>
      </c>
      <c r="AM333" s="23">
        <f>AM335*AM334</f>
        <v>-27.39812003712612</v>
      </c>
      <c r="AN333" s="23">
        <f t="shared" ref="AN333:AT333" si="574">AN335*AN334</f>
        <v>-29.073737354807388</v>
      </c>
      <c r="AO333" s="23">
        <f t="shared" si="574"/>
        <v>-30.520863521190829</v>
      </c>
      <c r="AP333" s="23">
        <f t="shared" si="574"/>
        <v>-31.695350414017391</v>
      </c>
      <c r="AQ333" s="23">
        <f t="shared" si="574"/>
        <v>-32.548360579168069</v>
      </c>
      <c r="AR333" s="23">
        <f t="shared" si="574"/>
        <v>-33.025966380407937</v>
      </c>
      <c r="AS333" s="23">
        <f t="shared" si="574"/>
        <v>-33.068718673065398</v>
      </c>
      <c r="AT333" s="23">
        <f t="shared" si="574"/>
        <v>-32.61118285044757</v>
      </c>
      <c r="AU333" s="8" t="s">
        <v>29</v>
      </c>
    </row>
    <row r="334" spans="2:47" ht="16.2" customHeight="1" x14ac:dyDescent="0.3">
      <c r="B334" s="24" t="s">
        <v>196</v>
      </c>
      <c r="D334" s="33">
        <f>C360</f>
        <v>47.730000000000004</v>
      </c>
      <c r="E334" s="33">
        <f t="shared" ref="E334:AJ334" si="575">D360</f>
        <v>48.009</v>
      </c>
      <c r="F334" s="33">
        <f t="shared" si="575"/>
        <v>46.484999999999999</v>
      </c>
      <c r="G334" s="34"/>
      <c r="H334" s="33">
        <f>F360</f>
        <v>50.932799999999993</v>
      </c>
      <c r="I334" s="33">
        <f t="shared" si="575"/>
        <v>72.253533377599993</v>
      </c>
      <c r="J334" s="33">
        <f t="shared" si="575"/>
        <v>75.3888882376</v>
      </c>
      <c r="K334" s="33">
        <f t="shared" si="575"/>
        <v>77.453483097599999</v>
      </c>
      <c r="L334" s="34">
        <f>F360</f>
        <v>50.932799999999993</v>
      </c>
      <c r="M334" s="33">
        <f>K360</f>
        <v>78.994487037599995</v>
      </c>
      <c r="N334" s="33">
        <f t="shared" si="575"/>
        <v>84.150639777600006</v>
      </c>
      <c r="O334" s="33">
        <f t="shared" si="575"/>
        <v>84.709913917600005</v>
      </c>
      <c r="P334" s="33">
        <f t="shared" si="575"/>
        <v>88.827199397599998</v>
      </c>
      <c r="Q334" s="34">
        <f>K360</f>
        <v>78.994487037599995</v>
      </c>
      <c r="R334" s="33">
        <f>P360</f>
        <v>91.3674957976</v>
      </c>
      <c r="S334" s="33">
        <f t="shared" si="575"/>
        <v>91.0369805176</v>
      </c>
      <c r="T334" s="33">
        <f t="shared" si="575"/>
        <v>98.830134137599998</v>
      </c>
      <c r="U334" s="33">
        <f t="shared" si="575"/>
        <v>101.73905913760001</v>
      </c>
      <c r="V334" s="34">
        <f>P360</f>
        <v>91.3674957976</v>
      </c>
      <c r="W334" s="33">
        <f>U360</f>
        <v>101.92722100760001</v>
      </c>
      <c r="X334" s="33">
        <f t="shared" si="575"/>
        <v>103.1784253276</v>
      </c>
      <c r="Y334" s="33">
        <f t="shared" si="575"/>
        <v>115.57551510760001</v>
      </c>
      <c r="Z334" s="33">
        <f t="shared" si="575"/>
        <v>118.92392287760001</v>
      </c>
      <c r="AA334" s="34">
        <f>U360</f>
        <v>101.92722100760001</v>
      </c>
      <c r="AB334" s="33">
        <f>Z360</f>
        <v>151.28356941999999</v>
      </c>
      <c r="AC334" s="33">
        <f t="shared" si="575"/>
        <v>147.23138557000001</v>
      </c>
      <c r="AD334" s="33">
        <f t="shared" si="575"/>
        <v>146.32172259000001</v>
      </c>
      <c r="AE334" s="33">
        <f t="shared" si="575"/>
        <v>169.41575367999999</v>
      </c>
      <c r="AF334" s="34">
        <f>Z360</f>
        <v>151.28356941999999</v>
      </c>
      <c r="AG334" s="33">
        <f>AE360</f>
        <v>170.92255275000002</v>
      </c>
      <c r="AH334" s="33">
        <f t="shared" si="575"/>
        <v>178.83667943999998</v>
      </c>
      <c r="AI334" s="33">
        <f t="shared" si="575"/>
        <v>178.83667943999998</v>
      </c>
      <c r="AJ334" s="33">
        <f t="shared" si="575"/>
        <v>193.80002489454543</v>
      </c>
      <c r="AK334" s="106">
        <f>AE360</f>
        <v>170.92255275000002</v>
      </c>
      <c r="AL334" s="34">
        <f>AK360</f>
        <v>198.48604193999998</v>
      </c>
      <c r="AM334" s="34">
        <f>AL360</f>
        <v>227.10075818999999</v>
      </c>
      <c r="AN334" s="34">
        <f t="shared" ref="AN334:AT334" si="576">AM360</f>
        <v>258.10510765875</v>
      </c>
      <c r="AO334" s="34">
        <f t="shared" si="576"/>
        <v>291.66651687750004</v>
      </c>
      <c r="AP334" s="34">
        <f t="shared" si="576"/>
        <v>327.96318094757817</v>
      </c>
      <c r="AQ334" s="34">
        <f t="shared" si="576"/>
        <v>367.18472183107031</v>
      </c>
      <c r="AR334" s="34">
        <f t="shared" si="576"/>
        <v>409.5328855491428</v>
      </c>
      <c r="AS334" s="34">
        <f t="shared" si="576"/>
        <v>455.2222805330448</v>
      </c>
      <c r="AT334" s="34">
        <f t="shared" si="576"/>
        <v>504.48115950006428</v>
      </c>
      <c r="AU334" s="8" t="s">
        <v>29</v>
      </c>
    </row>
    <row r="335" spans="2:47" ht="16.2" customHeight="1" x14ac:dyDescent="0.3">
      <c r="B335" s="24" t="s">
        <v>195</v>
      </c>
      <c r="D335" s="21">
        <f>(1+D333/D334)^4-1</f>
        <v>-9.5126980122144933E-2</v>
      </c>
      <c r="E335" s="21">
        <f t="shared" ref="E335:AG335" si="577">(1+E333/E334)^4-1</f>
        <v>-0.11787615265875862</v>
      </c>
      <c r="F335" s="21">
        <f t="shared" si="577"/>
        <v>-0.1009191289854029</v>
      </c>
      <c r="G335" s="14"/>
      <c r="H335" s="21">
        <f t="shared" si="577"/>
        <v>-8.6495113588314521E-2</v>
      </c>
      <c r="I335" s="21">
        <f t="shared" si="577"/>
        <v>-8.8624934270802758E-2</v>
      </c>
      <c r="J335" s="21">
        <f t="shared" si="577"/>
        <v>-9.105233614821806E-2</v>
      </c>
      <c r="K335" s="21">
        <f t="shared" si="577"/>
        <v>-6.6790276427678319E-2</v>
      </c>
      <c r="L335" s="14">
        <f>L333/L334</f>
        <v>-0.11585854302139291</v>
      </c>
      <c r="M335" s="21">
        <f t="shared" si="577"/>
        <v>-9.2887623172226874E-2</v>
      </c>
      <c r="N335" s="21">
        <f t="shared" si="577"/>
        <v>-9.0669941424339706E-2</v>
      </c>
      <c r="O335" s="21">
        <f t="shared" si="577"/>
        <v>-8.2856175892972561E-2</v>
      </c>
      <c r="P335" s="21">
        <f t="shared" si="577"/>
        <v>-9.540689818217063E-2</v>
      </c>
      <c r="Q335" s="14">
        <f>Q333/Q334</f>
        <v>-9.9867728696623775E-2</v>
      </c>
      <c r="R335" s="21">
        <f t="shared" si="577"/>
        <v>-9.3013245623245311E-2</v>
      </c>
      <c r="S335" s="21">
        <f t="shared" si="577"/>
        <v>-9.2644407622808234E-2</v>
      </c>
      <c r="T335" s="21">
        <f t="shared" si="577"/>
        <v>-9.8869542925456022E-2</v>
      </c>
      <c r="U335" s="21">
        <f t="shared" si="577"/>
        <v>-0.10000601681129961</v>
      </c>
      <c r="V335" s="14">
        <f>V333/V334</f>
        <v>-0.10477467852688437</v>
      </c>
      <c r="W335" s="21">
        <f t="shared" si="577"/>
        <v>-9.8449673782669E-2</v>
      </c>
      <c r="X335" s="21">
        <f t="shared" si="577"/>
        <v>-0.11072518977516743</v>
      </c>
      <c r="Y335" s="21">
        <f t="shared" si="577"/>
        <v>-0.10578934762900782</v>
      </c>
      <c r="Z335" s="21">
        <f t="shared" si="577"/>
        <v>-0.1120421524489853</v>
      </c>
      <c r="AA335" s="14">
        <f>AA333/AA334</f>
        <v>-0.12025246915233841</v>
      </c>
      <c r="AB335" s="21">
        <f t="shared" si="577"/>
        <v>-0.1110938498649916</v>
      </c>
      <c r="AC335" s="21">
        <f t="shared" si="577"/>
        <v>-9.9762382135163641E-2</v>
      </c>
      <c r="AD335" s="21">
        <f t="shared" si="577"/>
        <v>-0.11827828172973964</v>
      </c>
      <c r="AE335" s="21">
        <f t="shared" si="577"/>
        <v>-0.11809682524148457</v>
      </c>
      <c r="AF335" s="14">
        <f>AF333/AF334</f>
        <v>-0.11884965478361464</v>
      </c>
      <c r="AG335" s="21">
        <f t="shared" si="577"/>
        <v>-0.12318426951661432</v>
      </c>
      <c r="AH335" s="26">
        <f>AG335</f>
        <v>-0.12318426951661432</v>
      </c>
      <c r="AI335" s="26">
        <f t="shared" ref="AI335:AJ335" si="578">AH335</f>
        <v>-0.12318426951661432</v>
      </c>
      <c r="AJ335" s="26">
        <f t="shared" si="578"/>
        <v>-0.12318426951661432</v>
      </c>
      <c r="AK335" s="112">
        <f>AK333/AK334</f>
        <v>-0.1366430143848483</v>
      </c>
      <c r="AL335" s="27">
        <f>AK335+0.008</f>
        <v>-0.12864301438484829</v>
      </c>
      <c r="AM335" s="27">
        <f>AL335+0.008</f>
        <v>-0.12064301438484828</v>
      </c>
      <c r="AN335" s="27">
        <f t="shared" ref="AN335:AT335" si="579">AM335+0.008</f>
        <v>-0.11264301438484828</v>
      </c>
      <c r="AO335" s="27">
        <f t="shared" si="579"/>
        <v>-0.10464301438484827</v>
      </c>
      <c r="AP335" s="27">
        <f t="shared" si="579"/>
        <v>-9.6643014384848264E-2</v>
      </c>
      <c r="AQ335" s="27">
        <f t="shared" si="579"/>
        <v>-8.8643014384848257E-2</v>
      </c>
      <c r="AR335" s="27">
        <f t="shared" si="579"/>
        <v>-8.0643014384848249E-2</v>
      </c>
      <c r="AS335" s="27">
        <f t="shared" si="579"/>
        <v>-7.2643014384848242E-2</v>
      </c>
      <c r="AT335" s="27">
        <f t="shared" si="579"/>
        <v>-6.4643014384848235E-2</v>
      </c>
      <c r="AU335" s="8" t="s">
        <v>29</v>
      </c>
    </row>
    <row r="336" spans="2:47" ht="16.2" customHeight="1" x14ac:dyDescent="0.3">
      <c r="B336" s="86" t="s">
        <v>193</v>
      </c>
      <c r="D336" s="84">
        <f>D335/D$6</f>
        <v>-3.0977490962662877</v>
      </c>
      <c r="E336" s="84">
        <f t="shared" ref="E336:AJ336" si="580">E335/E$6</f>
        <v>-6.0752984007958046</v>
      </c>
      <c r="F336" s="84">
        <f t="shared" si="580"/>
        <v>-5.067820897389562</v>
      </c>
      <c r="G336" s="85"/>
      <c r="H336" s="84">
        <f t="shared" si="580"/>
        <v>-4.324755679415726</v>
      </c>
      <c r="I336" s="84">
        <f t="shared" si="580"/>
        <v>-2.5321409791657929</v>
      </c>
      <c r="J336" s="84">
        <f t="shared" si="580"/>
        <v>-1.8210467229643612</v>
      </c>
      <c r="K336" s="84">
        <f t="shared" si="580"/>
        <v>-0.86181001842165572</v>
      </c>
      <c r="L336" s="85">
        <f>L335/L6</f>
        <v>-2.539365326496283</v>
      </c>
      <c r="M336" s="84">
        <f t="shared" si="580"/>
        <v>-0.88464403021168458</v>
      </c>
      <c r="N336" s="84">
        <f t="shared" si="580"/>
        <v>-0.72535953139471765</v>
      </c>
      <c r="O336" s="84">
        <f t="shared" si="580"/>
        <v>-0.60923658744832765</v>
      </c>
      <c r="P336" s="84">
        <f t="shared" si="580"/>
        <v>-0.69386835041578632</v>
      </c>
      <c r="Q336" s="85">
        <f>Q335/Q6</f>
        <v>-0.79338811278350552</v>
      </c>
      <c r="R336" s="84">
        <f t="shared" si="580"/>
        <v>-0.67645996816905674</v>
      </c>
      <c r="S336" s="84">
        <f t="shared" si="580"/>
        <v>-0.67377750998405983</v>
      </c>
      <c r="T336" s="84">
        <f t="shared" si="580"/>
        <v>-0.74618522962608314</v>
      </c>
      <c r="U336" s="84">
        <f t="shared" si="580"/>
        <v>-0.85111503669191169</v>
      </c>
      <c r="V336" s="85">
        <f>V335/V6</f>
        <v>-0.79828326496673796</v>
      </c>
      <c r="W336" s="84">
        <f t="shared" si="580"/>
        <v>-0.88693399804206308</v>
      </c>
      <c r="X336" s="84">
        <f t="shared" si="580"/>
        <v>-1.0445772620298814</v>
      </c>
      <c r="Y336" s="84">
        <f t="shared" si="580"/>
        <v>-0.99989931596415704</v>
      </c>
      <c r="Z336" s="84">
        <f t="shared" si="580"/>
        <v>-0.98282589867530956</v>
      </c>
      <c r="AA336" s="85">
        <f>AA335/AA6</f>
        <v>-1.1012130874756265</v>
      </c>
      <c r="AB336" s="84">
        <f t="shared" si="580"/>
        <v>-0.81686654312493823</v>
      </c>
      <c r="AC336" s="84">
        <f t="shared" si="580"/>
        <v>-0.67865566078342621</v>
      </c>
      <c r="AD336" s="84">
        <f t="shared" si="580"/>
        <v>-0.78852187819826436</v>
      </c>
      <c r="AE336" s="84">
        <f t="shared" si="580"/>
        <v>-0.78731216827656381</v>
      </c>
      <c r="AF336" s="85">
        <f>AF335/AF6</f>
        <v>-0.81543502424435421</v>
      </c>
      <c r="AG336" s="84">
        <f t="shared" si="580"/>
        <v>-0.83064241076611145</v>
      </c>
      <c r="AH336" s="84">
        <f t="shared" si="580"/>
        <v>-0.89263963417836456</v>
      </c>
      <c r="AI336" s="84">
        <f t="shared" si="580"/>
        <v>-0.94757130397395628</v>
      </c>
      <c r="AJ336" s="84">
        <f t="shared" si="580"/>
        <v>-1.001498126151336</v>
      </c>
      <c r="AK336" s="112">
        <f t="shared" ref="AK336:AT336" si="581">AK335/AK6</f>
        <v>-1.0134842528080719</v>
      </c>
      <c r="AL336" s="85">
        <f t="shared" si="581"/>
        <v>-1.1284474946039325</v>
      </c>
      <c r="AM336" s="85">
        <f t="shared" si="581"/>
        <v>-1.2064301438484828</v>
      </c>
      <c r="AN336" s="85">
        <f t="shared" si="581"/>
        <v>-1.1264301438484827</v>
      </c>
      <c r="AO336" s="85">
        <f t="shared" si="581"/>
        <v>-1.0464301438484827</v>
      </c>
      <c r="AP336" s="85">
        <f t="shared" si="581"/>
        <v>-0.96643014384848258</v>
      </c>
      <c r="AQ336" s="85">
        <f t="shared" si="581"/>
        <v>-0.88643014384848251</v>
      </c>
      <c r="AR336" s="85">
        <f t="shared" si="581"/>
        <v>-0.80643014384848244</v>
      </c>
      <c r="AS336" s="85">
        <f t="shared" si="581"/>
        <v>-0.72643014384848237</v>
      </c>
      <c r="AT336" s="85">
        <f t="shared" si="581"/>
        <v>-0.6464301438484823</v>
      </c>
      <c r="AU336" s="8" t="s">
        <v>29</v>
      </c>
    </row>
    <row r="337" spans="1:47" ht="7.95" customHeight="1" x14ac:dyDescent="0.3">
      <c r="G337" s="7"/>
      <c r="L337" s="7"/>
      <c r="Q337" s="7"/>
      <c r="V337" s="7"/>
      <c r="AA337" s="7"/>
      <c r="AF337" s="7"/>
      <c r="AK337" s="103"/>
      <c r="AL337" s="7"/>
      <c r="AM337" s="7"/>
      <c r="AN337" s="7"/>
      <c r="AO337" s="7"/>
      <c r="AP337" s="7"/>
      <c r="AQ337" s="7"/>
      <c r="AR337" s="7"/>
      <c r="AS337" s="7"/>
      <c r="AT337" s="7"/>
      <c r="AU337" s="8" t="s">
        <v>29</v>
      </c>
    </row>
    <row r="338" spans="1:47" ht="16.2" customHeight="1" x14ac:dyDescent="0.3">
      <c r="B338" s="20" t="s">
        <v>197</v>
      </c>
      <c r="C338" s="22">
        <f>C308-C323-C328-C333</f>
        <v>-0.15400000000000014</v>
      </c>
      <c r="D338" s="22">
        <f t="shared" ref="D338:AG338" si="582">D308-D323-D328-D333</f>
        <v>-0.29200000000000004</v>
      </c>
      <c r="E338" s="22">
        <f t="shared" si="582"/>
        <v>0.41200000000000014</v>
      </c>
      <c r="F338" s="22">
        <f t="shared" si="582"/>
        <v>1.3574862475999991</v>
      </c>
      <c r="G338" s="23">
        <f>G308-G323-G328-G333</f>
        <v>1.3234862475999991</v>
      </c>
      <c r="H338" s="22">
        <f t="shared" si="582"/>
        <v>0.7430000000000001</v>
      </c>
      <c r="I338" s="22">
        <f t="shared" si="582"/>
        <v>-3.0000000000000027E-2</v>
      </c>
      <c r="J338" s="22">
        <f t="shared" si="582"/>
        <v>-4.4296089999995569E-3</v>
      </c>
      <c r="K338" s="22">
        <f t="shared" si="582"/>
        <v>0.34859705700000099</v>
      </c>
      <c r="L338" s="23">
        <f>L308-L323-L328-L333</f>
        <v>1.0571674480000013</v>
      </c>
      <c r="M338" s="22">
        <f t="shared" si="582"/>
        <v>-0.78799866999999968</v>
      </c>
      <c r="N338" s="22">
        <f t="shared" si="582"/>
        <v>-0.51500000000000012</v>
      </c>
      <c r="O338" s="22">
        <f t="shared" si="582"/>
        <v>-1.2739935118000003</v>
      </c>
      <c r="P338" s="22">
        <f t="shared" si="582"/>
        <v>-0.74473316000000134</v>
      </c>
      <c r="Q338" s="23">
        <f>Q308-Q323-Q328-Q333</f>
        <v>-3.3217253418000015</v>
      </c>
      <c r="R338" s="22">
        <f t="shared" si="582"/>
        <v>-1.5010000000000003</v>
      </c>
      <c r="S338" s="22">
        <f t="shared" si="582"/>
        <v>-1.7729999999999997</v>
      </c>
      <c r="T338" s="22">
        <f t="shared" si="582"/>
        <v>-1.4379999999999997</v>
      </c>
      <c r="U338" s="22">
        <f t="shared" si="582"/>
        <v>-1.7301326004999997</v>
      </c>
      <c r="V338" s="23">
        <f>V308-V323-V328-V333</f>
        <v>-6.4421326005000044</v>
      </c>
      <c r="W338" s="22">
        <f t="shared" si="582"/>
        <v>-2.4379999999999997</v>
      </c>
      <c r="X338" s="22">
        <f t="shared" si="582"/>
        <v>-2.3930000000000007</v>
      </c>
      <c r="Y338" s="22">
        <f t="shared" si="582"/>
        <v>-3.2799999999999994</v>
      </c>
      <c r="Z338" s="22">
        <f t="shared" si="582"/>
        <v>-0.97973100299999949</v>
      </c>
      <c r="AA338" s="23">
        <f>AA308-AA323-AA328-AA333</f>
        <v>-9.0907310030000001</v>
      </c>
      <c r="AB338" s="22">
        <f t="shared" si="582"/>
        <v>-3.5789999999999997</v>
      </c>
      <c r="AC338" s="22">
        <f t="shared" si="582"/>
        <v>-3.7469999999999999</v>
      </c>
      <c r="AD338" s="22">
        <f t="shared" si="582"/>
        <v>-4.4464265364999997</v>
      </c>
      <c r="AE338" s="22">
        <f t="shared" si="582"/>
        <v>-4.3740000000000032</v>
      </c>
      <c r="AF338" s="23">
        <f>AF308-AF323-AF328-AF333</f>
        <v>-16.146426536500005</v>
      </c>
      <c r="AG338" s="22">
        <f t="shared" si="582"/>
        <v>-5.0130000000000017</v>
      </c>
      <c r="AH338" s="22">
        <f>AH339*AH$16</f>
        <v>-3.9082173799650044</v>
      </c>
      <c r="AI338" s="22">
        <f t="shared" ref="AI338:AJ338" si="583">AI339*AI$16</f>
        <v>-4.1264812063516434</v>
      </c>
      <c r="AJ338" s="22">
        <f t="shared" si="583"/>
        <v>-5.5116022770888895</v>
      </c>
      <c r="AK338" s="105">
        <f ca="1">AK308-AK323-AK328-AK333</f>
        <v>-18.559300863405536</v>
      </c>
      <c r="AL338" s="23">
        <f t="shared" ref="AL338:AT338" si="584">AL339*AL16</f>
        <v>-19.756096860808949</v>
      </c>
      <c r="AM338" s="23">
        <f t="shared" si="584"/>
        <v>-22.469978295477109</v>
      </c>
      <c r="AN338" s="23">
        <f t="shared" si="584"/>
        <v>-25.392886509801826</v>
      </c>
      <c r="AO338" s="23">
        <f t="shared" si="584"/>
        <v>-28.538185727539471</v>
      </c>
      <c r="AP338" s="23">
        <f t="shared" si="584"/>
        <v>-31.92001767573414</v>
      </c>
      <c r="AQ338" s="23">
        <f t="shared" si="584"/>
        <v>-35.553344388067202</v>
      </c>
      <c r="AR338" s="23">
        <f t="shared" si="584"/>
        <v>-39.453993289700037</v>
      </c>
      <c r="AS338" s="23">
        <f t="shared" si="584"/>
        <v>-43.638704683431705</v>
      </c>
      <c r="AT338" s="23">
        <f t="shared" si="584"/>
        <v>-48.125181763299423</v>
      </c>
      <c r="AU338" s="8" t="s">
        <v>29</v>
      </c>
    </row>
    <row r="339" spans="1:47" ht="16.2" customHeight="1" x14ac:dyDescent="0.3">
      <c r="B339" s="24" t="s">
        <v>198</v>
      </c>
      <c r="C339" s="21">
        <f t="shared" ref="C339:AG339" si="585">C338/C16</f>
        <v>-2.7434353511240983E-3</v>
      </c>
      <c r="D339" s="21">
        <f t="shared" si="585"/>
        <v>-1.2461059190031154E-2</v>
      </c>
      <c r="E339" s="21">
        <f t="shared" si="585"/>
        <v>6.2171787287982156E-3</v>
      </c>
      <c r="F339" s="21">
        <f t="shared" si="585"/>
        <v>1.1174149088530566E-2</v>
      </c>
      <c r="G339" s="14">
        <f t="shared" si="585"/>
        <v>4.9509523256259019E-3</v>
      </c>
      <c r="H339" s="21">
        <f t="shared" si="585"/>
        <v>1.1661670302763959E-2</v>
      </c>
      <c r="I339" s="21">
        <f t="shared" si="585"/>
        <v>-3.1766537129787511E-4</v>
      </c>
      <c r="J339" s="21">
        <f t="shared" si="585"/>
        <v>-3.5499062520795886E-5</v>
      </c>
      <c r="K339" s="21">
        <f t="shared" si="585"/>
        <v>2.2985608881280948E-3</v>
      </c>
      <c r="L339" s="14">
        <f t="shared" si="585"/>
        <v>2.4325524320040403E-3</v>
      </c>
      <c r="M339" s="21">
        <f t="shared" si="585"/>
        <v>-7.0029386619743315E-3</v>
      </c>
      <c r="N339" s="21">
        <f t="shared" si="585"/>
        <v>-3.9180481273251525E-3</v>
      </c>
      <c r="O339" s="21">
        <f t="shared" si="585"/>
        <v>-9.2220135927671282E-3</v>
      </c>
      <c r="P339" s="21">
        <f t="shared" si="585"/>
        <v>-4.0188069849766946E-3</v>
      </c>
      <c r="Q339" s="14">
        <f t="shared" si="585"/>
        <v>-5.8540238582652209E-3</v>
      </c>
      <c r="R339" s="21">
        <f t="shared" si="585"/>
        <v>-1.0593549297762723E-2</v>
      </c>
      <c r="S339" s="21">
        <f t="shared" si="585"/>
        <v>-1.1381772339262941E-2</v>
      </c>
      <c r="T339" s="21">
        <f t="shared" si="585"/>
        <v>-8.7534691733962035E-3</v>
      </c>
      <c r="U339" s="21">
        <f t="shared" si="585"/>
        <v>-7.795251120763064E-3</v>
      </c>
      <c r="V339" s="14">
        <f t="shared" si="585"/>
        <v>-9.4225914367944263E-3</v>
      </c>
      <c r="W339" s="21">
        <f t="shared" si="585"/>
        <v>-1.5037222986350542E-2</v>
      </c>
      <c r="X339" s="21">
        <f t="shared" si="585"/>
        <v>-1.2463411839460009E-2</v>
      </c>
      <c r="Y339" s="21">
        <f t="shared" si="585"/>
        <v>-1.6052071353414733E-2</v>
      </c>
      <c r="Z339" s="21">
        <f t="shared" si="585"/>
        <v>-3.5849369463319299E-3</v>
      </c>
      <c r="AA339" s="14">
        <f t="shared" si="585"/>
        <v>-1.0929525262726343E-2</v>
      </c>
      <c r="AB339" s="21">
        <f t="shared" si="585"/>
        <v>-1.6819715582792098E-2</v>
      </c>
      <c r="AC339" s="21">
        <f t="shared" si="585"/>
        <v>-1.5477650965959081E-2</v>
      </c>
      <c r="AD339" s="21">
        <f t="shared" si="585"/>
        <v>-1.6558459371241094E-2</v>
      </c>
      <c r="AE339" s="21">
        <f t="shared" si="585"/>
        <v>-1.3537353066795427E-2</v>
      </c>
      <c r="AF339" s="14">
        <f t="shared" si="585"/>
        <v>-1.5428802093525928E-2</v>
      </c>
      <c r="AG339" s="21">
        <f t="shared" si="585"/>
        <v>-1.9959547376551819E-2</v>
      </c>
      <c r="AH339" s="26">
        <v>-1.4999999999999999E-2</v>
      </c>
      <c r="AI339" s="65">
        <f>AH339</f>
        <v>-1.4999999999999999E-2</v>
      </c>
      <c r="AJ339" s="65">
        <f t="shared" ref="AJ339" si="586">AI339</f>
        <v>-1.4999999999999999E-2</v>
      </c>
      <c r="AK339" s="112">
        <f ca="1">AK338/AK16</f>
        <v>-1.6079173223714893E-2</v>
      </c>
      <c r="AL339" s="27">
        <v>-1.4999999999999999E-2</v>
      </c>
      <c r="AM339" s="79">
        <f>AL339</f>
        <v>-1.4999999999999999E-2</v>
      </c>
      <c r="AN339" s="79">
        <f t="shared" ref="AN339:AT339" si="587">AM339</f>
        <v>-1.4999999999999999E-2</v>
      </c>
      <c r="AO339" s="79">
        <f t="shared" si="587"/>
        <v>-1.4999999999999999E-2</v>
      </c>
      <c r="AP339" s="79">
        <f t="shared" si="587"/>
        <v>-1.4999999999999999E-2</v>
      </c>
      <c r="AQ339" s="79">
        <f t="shared" si="587"/>
        <v>-1.4999999999999999E-2</v>
      </c>
      <c r="AR339" s="79">
        <f t="shared" si="587"/>
        <v>-1.4999999999999999E-2</v>
      </c>
      <c r="AS339" s="79">
        <f t="shared" si="587"/>
        <v>-1.4999999999999999E-2</v>
      </c>
      <c r="AT339" s="79">
        <f t="shared" si="587"/>
        <v>-1.4999999999999999E-2</v>
      </c>
      <c r="AU339" s="8" t="s">
        <v>29</v>
      </c>
    </row>
    <row r="340" spans="1:47" ht="7.95" customHeight="1" x14ac:dyDescent="0.3">
      <c r="G340" s="7"/>
      <c r="L340" s="7"/>
      <c r="Q340" s="7"/>
      <c r="V340" s="7"/>
      <c r="AA340" s="7"/>
      <c r="AF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8" t="s">
        <v>29</v>
      </c>
    </row>
    <row r="341" spans="1:47" ht="16.2" customHeight="1" x14ac:dyDescent="0.3">
      <c r="B341" s="41" t="s">
        <v>199</v>
      </c>
      <c r="C341" s="37" t="str">
        <f t="shared" ref="C341:AG341" si="588">IF(ABS(C310-C311-C312-C313-C314)&gt;0.1,"Erro","Ok")</f>
        <v>Ok</v>
      </c>
      <c r="D341" s="37" t="str">
        <f t="shared" si="588"/>
        <v>Ok</v>
      </c>
      <c r="E341" s="37" t="str">
        <f t="shared" si="588"/>
        <v>Ok</v>
      </c>
      <c r="F341" s="37" t="str">
        <f t="shared" si="588"/>
        <v>Ok</v>
      </c>
      <c r="G341" s="38" t="str">
        <f>IF(ABS(G310-G311-G312-G313-G314)&gt;0.1,"Erro","Ok")</f>
        <v>Ok</v>
      </c>
      <c r="H341" s="37" t="str">
        <f t="shared" si="588"/>
        <v>Ok</v>
      </c>
      <c r="I341" s="37" t="str">
        <f t="shared" si="588"/>
        <v>Ok</v>
      </c>
      <c r="J341" s="37" t="str">
        <f t="shared" si="588"/>
        <v>Ok</v>
      </c>
      <c r="K341" s="37" t="str">
        <f t="shared" si="588"/>
        <v>Ok</v>
      </c>
      <c r="L341" s="38" t="str">
        <f>IF(ABS(L310-L311-L312-L313-L314)&gt;0.1,"Erro","Ok")</f>
        <v>Ok</v>
      </c>
      <c r="M341" s="37" t="str">
        <f t="shared" si="588"/>
        <v>Ok</v>
      </c>
      <c r="N341" s="37" t="str">
        <f t="shared" si="588"/>
        <v>Ok</v>
      </c>
      <c r="O341" s="37" t="str">
        <f t="shared" si="588"/>
        <v>Ok</v>
      </c>
      <c r="P341" s="37" t="str">
        <f t="shared" si="588"/>
        <v>Ok</v>
      </c>
      <c r="Q341" s="38" t="str">
        <f>IF(ABS(Q310-Q311-Q312-Q313-Q314)&gt;0.1,"Erro","Ok")</f>
        <v>Ok</v>
      </c>
      <c r="R341" s="37" t="str">
        <f t="shared" si="588"/>
        <v>Ok</v>
      </c>
      <c r="S341" s="37" t="str">
        <f t="shared" si="588"/>
        <v>Ok</v>
      </c>
      <c r="T341" s="37" t="str">
        <f t="shared" si="588"/>
        <v>Ok</v>
      </c>
      <c r="U341" s="37" t="str">
        <f t="shared" si="588"/>
        <v>Ok</v>
      </c>
      <c r="V341" s="38" t="str">
        <f>IF(ABS(V310-V311-V312-V313-V314)&gt;0.1,"Erro","Ok")</f>
        <v>Ok</v>
      </c>
      <c r="W341" s="37" t="str">
        <f t="shared" si="588"/>
        <v>Ok</v>
      </c>
      <c r="X341" s="37" t="str">
        <f t="shared" si="588"/>
        <v>Ok</v>
      </c>
      <c r="Y341" s="37" t="str">
        <f t="shared" si="588"/>
        <v>Ok</v>
      </c>
      <c r="Z341" s="37" t="str">
        <f t="shared" si="588"/>
        <v>Ok</v>
      </c>
      <c r="AA341" s="38" t="str">
        <f>IF(ABS(AA310-AA311-AA312-AA313-AA314)&gt;0.1,"Erro","Ok")</f>
        <v>Ok</v>
      </c>
      <c r="AB341" s="37" t="str">
        <f t="shared" si="588"/>
        <v>Ok</v>
      </c>
      <c r="AC341" s="37" t="str">
        <f t="shared" si="588"/>
        <v>Ok</v>
      </c>
      <c r="AD341" s="37" t="str">
        <f t="shared" si="588"/>
        <v>Ok</v>
      </c>
      <c r="AE341" s="37" t="str">
        <f t="shared" si="588"/>
        <v>Ok</v>
      </c>
      <c r="AF341" s="38" t="str">
        <f>IF(ABS(AF310-AF311-AF312-AF313-AF314)&gt;0.1,"Erro","Ok")</f>
        <v>Ok</v>
      </c>
      <c r="AG341" s="37" t="str">
        <f t="shared" si="588"/>
        <v>Ok</v>
      </c>
      <c r="AH341" s="172"/>
      <c r="AI341" s="172"/>
      <c r="AJ341" s="172"/>
      <c r="AK341" s="173"/>
      <c r="AL341" s="173"/>
      <c r="AM341" s="173"/>
      <c r="AN341" s="173"/>
      <c r="AO341" s="173"/>
      <c r="AP341" s="173"/>
      <c r="AQ341" s="173"/>
      <c r="AR341" s="173"/>
      <c r="AS341" s="173"/>
      <c r="AT341" s="173"/>
      <c r="AU341" s="8" t="s">
        <v>29</v>
      </c>
    </row>
    <row r="342" spans="1:47" ht="16.2" customHeight="1" x14ac:dyDescent="0.3">
      <c r="B342" s="41" t="s">
        <v>200</v>
      </c>
      <c r="C342" s="37" t="str">
        <f t="shared" ref="C342:AG342" si="589">IF(ABS(C310-C311-C312-C313-C314)&gt;0.1,"Erro",IF(ABS(C316-C317-C318-C319-C320-C321)&gt;0.1,"Erro","Ok"))</f>
        <v>Ok</v>
      </c>
      <c r="D342" s="37" t="str">
        <f t="shared" si="589"/>
        <v>Ok</v>
      </c>
      <c r="E342" s="37" t="str">
        <f t="shared" si="589"/>
        <v>Ok</v>
      </c>
      <c r="F342" s="37" t="str">
        <f t="shared" si="589"/>
        <v>Ok</v>
      </c>
      <c r="G342" s="38" t="str">
        <f>IF(ABS(G316-G317-G318-G319-G320-G321)&gt;0.1,"Erro","Ok")</f>
        <v>Ok</v>
      </c>
      <c r="H342" s="37" t="str">
        <f t="shared" si="589"/>
        <v>Ok</v>
      </c>
      <c r="I342" s="37" t="str">
        <f t="shared" si="589"/>
        <v>Ok</v>
      </c>
      <c r="J342" s="37" t="str">
        <f t="shared" si="589"/>
        <v>Ok</v>
      </c>
      <c r="K342" s="37" t="str">
        <f t="shared" si="589"/>
        <v>Ok</v>
      </c>
      <c r="L342" s="38" t="str">
        <f>IF(ABS(L316-L317-L318-L319-L320-L321)&gt;0.1,"Erro","Ok")</f>
        <v>Ok</v>
      </c>
      <c r="M342" s="37" t="str">
        <f t="shared" si="589"/>
        <v>Ok</v>
      </c>
      <c r="N342" s="37" t="str">
        <f t="shared" si="589"/>
        <v>Ok</v>
      </c>
      <c r="O342" s="37" t="str">
        <f t="shared" si="589"/>
        <v>Ok</v>
      </c>
      <c r="P342" s="37" t="str">
        <f t="shared" si="589"/>
        <v>Ok</v>
      </c>
      <c r="Q342" s="38" t="str">
        <f>IF(ABS(Q316-Q317-Q318-Q319-Q320-Q321)&gt;0.1,"Erro","Ok")</f>
        <v>Ok</v>
      </c>
      <c r="R342" s="37" t="str">
        <f t="shared" si="589"/>
        <v>Ok</v>
      </c>
      <c r="S342" s="37" t="str">
        <f t="shared" si="589"/>
        <v>Ok</v>
      </c>
      <c r="T342" s="37" t="str">
        <f t="shared" si="589"/>
        <v>Ok</v>
      </c>
      <c r="U342" s="37" t="str">
        <f t="shared" si="589"/>
        <v>Ok</v>
      </c>
      <c r="V342" s="38" t="str">
        <f>IF(ABS(V316-V317-V318-V319-V320-V321)&gt;0.1,"Erro","Ok")</f>
        <v>Ok</v>
      </c>
      <c r="W342" s="37" t="str">
        <f t="shared" si="589"/>
        <v>Ok</v>
      </c>
      <c r="X342" s="37" t="str">
        <f t="shared" si="589"/>
        <v>Ok</v>
      </c>
      <c r="Y342" s="37" t="str">
        <f t="shared" si="589"/>
        <v>Ok</v>
      </c>
      <c r="Z342" s="37" t="str">
        <f t="shared" si="589"/>
        <v>Ok</v>
      </c>
      <c r="AA342" s="38" t="str">
        <f>IF(ABS(AA316-AA317-AA318-AA319-AA320-AA321)&gt;0.1,"Erro","Ok")</f>
        <v>Ok</v>
      </c>
      <c r="AB342" s="37" t="str">
        <f t="shared" si="589"/>
        <v>Ok</v>
      </c>
      <c r="AC342" s="37" t="str">
        <f t="shared" si="589"/>
        <v>Ok</v>
      </c>
      <c r="AD342" s="37" t="str">
        <f t="shared" si="589"/>
        <v>Ok</v>
      </c>
      <c r="AE342" s="37" t="str">
        <f t="shared" si="589"/>
        <v>Ok</v>
      </c>
      <c r="AF342" s="38" t="str">
        <f>IF(ABS(AF316-AF317-AF318-AF319-AF320-AF321)&gt;0.1,"Erro","Ok")</f>
        <v>Ok</v>
      </c>
      <c r="AG342" s="37" t="str">
        <f t="shared" si="589"/>
        <v>Ok</v>
      </c>
      <c r="AH342" s="172"/>
      <c r="AI342" s="172"/>
      <c r="AJ342" s="172"/>
      <c r="AK342" s="173"/>
      <c r="AL342" s="173"/>
      <c r="AM342" s="173"/>
      <c r="AN342" s="173"/>
      <c r="AO342" s="173"/>
      <c r="AP342" s="173"/>
      <c r="AQ342" s="173"/>
      <c r="AR342" s="173"/>
      <c r="AS342" s="173"/>
      <c r="AT342" s="173"/>
      <c r="AU342" s="8" t="s">
        <v>29</v>
      </c>
    </row>
    <row r="343" spans="1:47" ht="7.95" customHeight="1" x14ac:dyDescent="0.3">
      <c r="G343" s="7"/>
      <c r="L343" s="7"/>
      <c r="Q343" s="7"/>
      <c r="V343" s="7"/>
      <c r="AA343" s="7"/>
      <c r="AF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8" t="s">
        <v>29</v>
      </c>
    </row>
    <row r="344" spans="1:47" ht="16.2" customHeight="1" x14ac:dyDescent="0.3">
      <c r="A344" s="9" t="s">
        <v>30</v>
      </c>
      <c r="B344" s="10" t="s">
        <v>201</v>
      </c>
      <c r="C344" s="11"/>
      <c r="D344" s="11"/>
      <c r="E344" s="11"/>
      <c r="F344" s="11"/>
      <c r="G344" s="12"/>
      <c r="H344" s="11"/>
      <c r="I344" s="11"/>
      <c r="J344" s="11"/>
      <c r="K344" s="11"/>
      <c r="L344" s="12"/>
      <c r="M344" s="11"/>
      <c r="N344" s="11"/>
      <c r="O344" s="11"/>
      <c r="P344" s="11"/>
      <c r="Q344" s="12"/>
      <c r="R344" s="11"/>
      <c r="S344" s="11"/>
      <c r="T344" s="11"/>
      <c r="U344" s="11"/>
      <c r="V344" s="12"/>
      <c r="W344" s="11"/>
      <c r="X344" s="11"/>
      <c r="Y344" s="11"/>
      <c r="Z344" s="11"/>
      <c r="AA344" s="12"/>
      <c r="AB344" s="11"/>
      <c r="AC344" s="11"/>
      <c r="AD344" s="11"/>
      <c r="AE344" s="11"/>
      <c r="AF344" s="12"/>
      <c r="AG344" s="11"/>
      <c r="AH344" s="11"/>
      <c r="AI344" s="11"/>
      <c r="AJ344" s="11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8" t="s">
        <v>29</v>
      </c>
    </row>
    <row r="345" spans="1:47" ht="7.95" customHeight="1" x14ac:dyDescent="0.3">
      <c r="G345" s="7"/>
      <c r="L345" s="7"/>
      <c r="Q345" s="7"/>
      <c r="V345" s="7"/>
      <c r="AA345" s="7"/>
      <c r="AF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8" t="s">
        <v>29</v>
      </c>
    </row>
    <row r="346" spans="1:47" ht="16.2" customHeight="1" x14ac:dyDescent="0.3">
      <c r="B346" s="25" t="s">
        <v>202</v>
      </c>
      <c r="C346" s="28">
        <f>C64</f>
        <v>44.853000000000002</v>
      </c>
      <c r="D346" s="28">
        <f>D64</f>
        <v>42.848999999999997</v>
      </c>
      <c r="E346" s="28">
        <f>E64</f>
        <v>42.325000000000003</v>
      </c>
      <c r="F346" s="28">
        <f>F64</f>
        <v>46.948</v>
      </c>
      <c r="G346" s="29">
        <f>F346</f>
        <v>46.948</v>
      </c>
      <c r="H346" s="28">
        <f>H64</f>
        <v>67.183000000000007</v>
      </c>
      <c r="I346" s="28">
        <f>I64</f>
        <v>69.616</v>
      </c>
      <c r="J346" s="28">
        <f>J64</f>
        <v>71.162000000000006</v>
      </c>
      <c r="K346" s="28">
        <f>K64</f>
        <v>73.89</v>
      </c>
      <c r="L346" s="29">
        <f>K346</f>
        <v>73.89</v>
      </c>
      <c r="M346" s="28">
        <f>M64</f>
        <v>78.174999999999997</v>
      </c>
      <c r="N346" s="28">
        <f>N64</f>
        <v>77.881</v>
      </c>
      <c r="O346" s="28">
        <f>O64</f>
        <v>81.370999999999995</v>
      </c>
      <c r="P346" s="28">
        <f>P64</f>
        <v>84.322000000000003</v>
      </c>
      <c r="Q346" s="29">
        <f>P346</f>
        <v>84.322000000000003</v>
      </c>
      <c r="R346" s="28">
        <f>R64</f>
        <v>83.346999999999994</v>
      </c>
      <c r="S346" s="28">
        <f>S64</f>
        <v>90.227999999999994</v>
      </c>
      <c r="T346" s="28">
        <f>T64</f>
        <v>92.236999999999995</v>
      </c>
      <c r="U346" s="28">
        <f>U64</f>
        <v>93.983000000000004</v>
      </c>
      <c r="V346" s="29">
        <f>U346</f>
        <v>93.983000000000004</v>
      </c>
      <c r="W346" s="28">
        <f>W64</f>
        <v>95.634</v>
      </c>
      <c r="X346" s="28">
        <f>X64</f>
        <v>107.056</v>
      </c>
      <c r="Y346" s="28">
        <f>Y64</f>
        <v>109.569</v>
      </c>
      <c r="Z346" s="28">
        <f>Z64</f>
        <v>142.77099999999999</v>
      </c>
      <c r="AA346" s="29">
        <f>Z346</f>
        <v>142.77099999999999</v>
      </c>
      <c r="AB346" s="28">
        <f>AB64</f>
        <v>137.636</v>
      </c>
      <c r="AC346" s="28">
        <f>AC64</f>
        <v>136.77199999999999</v>
      </c>
      <c r="AD346" s="28">
        <f>AD64</f>
        <v>160.678</v>
      </c>
      <c r="AE346" s="28">
        <f>AE64</f>
        <v>162.35300000000001</v>
      </c>
      <c r="AF346" s="29">
        <f>AE346</f>
        <v>162.35300000000001</v>
      </c>
      <c r="AG346" s="28">
        <f>AG64</f>
        <v>169.08600000000001</v>
      </c>
      <c r="AH346" s="28">
        <f>AG346</f>
        <v>169.08600000000001</v>
      </c>
      <c r="AI346" s="28">
        <f>AI347*AI207</f>
        <v>184.04934545454546</v>
      </c>
      <c r="AJ346" s="28">
        <f>AJ347*AJ207</f>
        <v>188.73536250000001</v>
      </c>
      <c r="AK346" s="29">
        <f>AJ346</f>
        <v>188.73536250000001</v>
      </c>
      <c r="AL346" s="29">
        <f t="shared" ref="AL346:AT346" si="590">AL347*AL207</f>
        <v>217.35007875000002</v>
      </c>
      <c r="AM346" s="29">
        <f t="shared" si="590"/>
        <v>248.35442821875003</v>
      </c>
      <c r="AN346" s="29">
        <f t="shared" si="590"/>
        <v>281.91583743750004</v>
      </c>
      <c r="AO346" s="29">
        <f t="shared" si="590"/>
        <v>318.21250150757817</v>
      </c>
      <c r="AP346" s="29">
        <f t="shared" si="590"/>
        <v>357.43404239107036</v>
      </c>
      <c r="AQ346" s="29">
        <f t="shared" si="590"/>
        <v>399.78220610914286</v>
      </c>
      <c r="AR346" s="29">
        <f t="shared" si="590"/>
        <v>445.47160109304485</v>
      </c>
      <c r="AS346" s="29">
        <f t="shared" si="590"/>
        <v>494.73048006006428</v>
      </c>
      <c r="AT346" s="29">
        <f t="shared" si="590"/>
        <v>547.80156792105299</v>
      </c>
      <c r="AU346" s="8" t="s">
        <v>29</v>
      </c>
    </row>
    <row r="347" spans="1:47" ht="16.2" customHeight="1" x14ac:dyDescent="0.3">
      <c r="B347" s="20" t="s">
        <v>203</v>
      </c>
      <c r="C347" s="87">
        <f>C346/C207</f>
        <v>1.2459166666666668</v>
      </c>
      <c r="D347" s="87">
        <f>D346/D207</f>
        <v>1.1580810810810811</v>
      </c>
      <c r="E347" s="87">
        <f>E346/E207</f>
        <v>1.1756944444444446</v>
      </c>
      <c r="F347" s="87">
        <f>F346/F207</f>
        <v>1.2037948717948719</v>
      </c>
      <c r="G347" s="88">
        <f>F347</f>
        <v>1.2037948717948719</v>
      </c>
      <c r="H347" s="87">
        <f>H346/H207</f>
        <v>1.7226410256410258</v>
      </c>
      <c r="I347" s="87">
        <f>I346/I207</f>
        <v>1.7403999999999999</v>
      </c>
      <c r="J347" s="87">
        <f>J346/J207</f>
        <v>1.7356585365853661</v>
      </c>
      <c r="K347" s="87">
        <f>K346/K207</f>
        <v>1.8021951219512196</v>
      </c>
      <c r="L347" s="88">
        <f>K347</f>
        <v>1.8021951219512196</v>
      </c>
      <c r="M347" s="87">
        <f>M346/M207</f>
        <v>1.9067073170731708</v>
      </c>
      <c r="N347" s="87">
        <f>N346/N207</f>
        <v>1.8543095238095237</v>
      </c>
      <c r="O347" s="87">
        <f>O346/O207</f>
        <v>1.9374047619047619</v>
      </c>
      <c r="P347" s="87">
        <f>P346/P207</f>
        <v>1.916409090909091</v>
      </c>
      <c r="Q347" s="88">
        <f>P347</f>
        <v>1.916409090909091</v>
      </c>
      <c r="R347" s="87">
        <f>R346/R207</f>
        <v>1.8942499999999998</v>
      </c>
      <c r="S347" s="87">
        <f>S346/S207</f>
        <v>2.0506363636363636</v>
      </c>
      <c r="T347" s="87">
        <f>T346/T207</f>
        <v>2.0497111111111108</v>
      </c>
      <c r="U347" s="87">
        <f>U346/U207</f>
        <v>2.0431086956521738</v>
      </c>
      <c r="V347" s="88">
        <f>U347</f>
        <v>2.0431086956521738</v>
      </c>
      <c r="W347" s="87">
        <f>W346/W207</f>
        <v>1.992375</v>
      </c>
      <c r="X347" s="87">
        <f>X346/X207</f>
        <v>2.0991372549019607</v>
      </c>
      <c r="Y347" s="87">
        <f>Y346/Y207</f>
        <v>2.1070961538461539</v>
      </c>
      <c r="Z347" s="87">
        <f>Z346/Z207</f>
        <v>2.6937924528301886</v>
      </c>
      <c r="AA347" s="88">
        <f>Z347</f>
        <v>2.6937924528301886</v>
      </c>
      <c r="AB347" s="87">
        <f>AB346/AB207</f>
        <v>2.5969056603773586</v>
      </c>
      <c r="AC347" s="87">
        <f>AC346/AC207</f>
        <v>2.5328148148148149</v>
      </c>
      <c r="AD347" s="87">
        <f>AD346/AD207</f>
        <v>2.9214181818181819</v>
      </c>
      <c r="AE347" s="87">
        <f>AE346/AE207</f>
        <v>2.8991607142857143</v>
      </c>
      <c r="AF347" s="88">
        <f>AE347</f>
        <v>2.8991607142857143</v>
      </c>
      <c r="AG347" s="87">
        <f>AG346/AG207</f>
        <v>3.0193928571428574</v>
      </c>
      <c r="AH347" s="87">
        <f>AC347*(1+AH348)</f>
        <v>3.0393777777777777</v>
      </c>
      <c r="AI347" s="87">
        <f>AD347*(1+AI348)</f>
        <v>3.0674890909090911</v>
      </c>
      <c r="AJ347" s="87">
        <f>AE347*(1+AJ348)</f>
        <v>3.04411875</v>
      </c>
      <c r="AK347" s="88">
        <f>AJ347</f>
        <v>3.04411875</v>
      </c>
      <c r="AL347" s="88">
        <f>AK347*(1+AL348)</f>
        <v>3.1963246875000002</v>
      </c>
      <c r="AM347" s="88">
        <f>AL347*(1+AM348)</f>
        <v>3.3561409218750002</v>
      </c>
      <c r="AN347" s="88">
        <f t="shared" ref="AN347:AT347" si="591">AM347*(1+AN348)</f>
        <v>3.5239479679687502</v>
      </c>
      <c r="AO347" s="88">
        <f t="shared" si="591"/>
        <v>3.7001453663671877</v>
      </c>
      <c r="AP347" s="88">
        <f t="shared" si="591"/>
        <v>3.8851526346855474</v>
      </c>
      <c r="AQ347" s="88">
        <f t="shared" si="591"/>
        <v>4.0794102664198251</v>
      </c>
      <c r="AR347" s="88">
        <f t="shared" si="591"/>
        <v>4.2833807797408161</v>
      </c>
      <c r="AS347" s="88">
        <f t="shared" si="591"/>
        <v>4.4975498187278573</v>
      </c>
      <c r="AT347" s="88">
        <f t="shared" si="591"/>
        <v>4.7224273096642504</v>
      </c>
      <c r="AU347" s="8" t="s">
        <v>29</v>
      </c>
    </row>
    <row r="348" spans="1:47" ht="16.2" customHeight="1" x14ac:dyDescent="0.3">
      <c r="B348" s="24" t="s">
        <v>56</v>
      </c>
      <c r="G348" s="7"/>
      <c r="H348" s="21">
        <f>H347/C347-1</f>
        <v>0.38262940991855454</v>
      </c>
      <c r="I348" s="21">
        <f>I347/D347-1</f>
        <v>0.50283087119886094</v>
      </c>
      <c r="J348" s="21">
        <f>J347/E347-1</f>
        <v>0.47628369325630637</v>
      </c>
      <c r="K348" s="21">
        <f>K347/F347-1</f>
        <v>0.49709486572585759</v>
      </c>
      <c r="L348" s="14">
        <f>L347/F347-1</f>
        <v>0.49709486572585759</v>
      </c>
      <c r="M348" s="21">
        <f>M347/H347-1</f>
        <v>0.10685121780589801</v>
      </c>
      <c r="N348" s="21">
        <f>N347/I347-1</f>
        <v>6.5450197546267352E-2</v>
      </c>
      <c r="O348" s="21">
        <f>O347/J347-1</f>
        <v>0.11623612655764637</v>
      </c>
      <c r="P348" s="21">
        <f>P347/K347-1</f>
        <v>6.3374918490630927E-2</v>
      </c>
      <c r="Q348" s="14">
        <f>Q347/K347-1</f>
        <v>6.3374918490630927E-2</v>
      </c>
      <c r="R348" s="21">
        <f>R347/M347-1</f>
        <v>-6.5334186120884485E-3</v>
      </c>
      <c r="S348" s="21">
        <f>S347/N347-1</f>
        <v>0.10587598095462658</v>
      </c>
      <c r="T348" s="21">
        <f>T347/O347-1</f>
        <v>5.7967416729137522E-2</v>
      </c>
      <c r="U348" s="21">
        <f>U347/P347-1</f>
        <v>6.6113026359617244E-2</v>
      </c>
      <c r="V348" s="14">
        <f>V347/P347-1</f>
        <v>6.6113026359617244E-2</v>
      </c>
      <c r="W348" s="21">
        <f>W347/R347-1</f>
        <v>5.1801504553253386E-2</v>
      </c>
      <c r="X348" s="21">
        <f>X347/S347-1</f>
        <v>2.3651629379862982E-2</v>
      </c>
      <c r="Y348" s="21">
        <f>Y347/T347-1</f>
        <v>2.7996649100436199E-2</v>
      </c>
      <c r="Z348" s="21">
        <f>Z347/U347-1</f>
        <v>0.31847730791939699</v>
      </c>
      <c r="AA348" s="14">
        <f>AA347/U347-1</f>
        <v>0.31847730791939699</v>
      </c>
      <c r="AB348" s="21">
        <f>AB347/W347-1</f>
        <v>0.30342212704804994</v>
      </c>
      <c r="AC348" s="21">
        <f>AC347/X347-1</f>
        <v>0.20659800063103018</v>
      </c>
      <c r="AD348" s="21">
        <f>AD347/Y347-1</f>
        <v>0.38646647732976902</v>
      </c>
      <c r="AE348" s="21">
        <f>AE347/Z347-1</f>
        <v>7.6237596270551267E-2</v>
      </c>
      <c r="AF348" s="14">
        <f>AF347/Z347-1</f>
        <v>7.6237596270551267E-2</v>
      </c>
      <c r="AG348" s="21">
        <f>AG347/AB347-1</f>
        <v>0.16268869647891138</v>
      </c>
      <c r="AH348" s="26">
        <v>0.2</v>
      </c>
      <c r="AI348" s="26">
        <v>0.05</v>
      </c>
      <c r="AJ348" s="65">
        <f>AI348</f>
        <v>0.05</v>
      </c>
      <c r="AK348" s="109">
        <f>AK347/AE347-1</f>
        <v>5.0000000000000044E-2</v>
      </c>
      <c r="AL348" s="27">
        <v>0.05</v>
      </c>
      <c r="AM348" s="79">
        <f>AL348</f>
        <v>0.05</v>
      </c>
      <c r="AN348" s="79">
        <f t="shared" ref="AN348:AT348" si="592">AM348</f>
        <v>0.05</v>
      </c>
      <c r="AO348" s="79">
        <f t="shared" si="592"/>
        <v>0.05</v>
      </c>
      <c r="AP348" s="79">
        <f t="shared" si="592"/>
        <v>0.05</v>
      </c>
      <c r="AQ348" s="79">
        <f t="shared" si="592"/>
        <v>0.05</v>
      </c>
      <c r="AR348" s="79">
        <f t="shared" si="592"/>
        <v>0.05</v>
      </c>
      <c r="AS348" s="79">
        <f t="shared" si="592"/>
        <v>0.05</v>
      </c>
      <c r="AT348" s="79">
        <f t="shared" si="592"/>
        <v>0.05</v>
      </c>
      <c r="AU348" s="8" t="s">
        <v>29</v>
      </c>
    </row>
    <row r="349" spans="1:47" ht="7.95" customHeight="1" x14ac:dyDescent="0.3">
      <c r="B349" s="35"/>
      <c r="G349" s="7"/>
      <c r="L349" s="7"/>
      <c r="Q349" s="7"/>
      <c r="V349" s="7"/>
      <c r="AA349" s="7"/>
      <c r="AF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8" t="s">
        <v>29</v>
      </c>
    </row>
    <row r="350" spans="1:47" ht="16.2" customHeight="1" x14ac:dyDescent="0.3">
      <c r="B350" s="20" t="s">
        <v>204</v>
      </c>
      <c r="D350" s="22">
        <f t="shared" ref="D350:AE350" si="593">D346-C346-D351</f>
        <v>-1.0000000000047748E-3</v>
      </c>
      <c r="E350" s="22">
        <f t="shared" si="593"/>
        <v>1.4990000000000063</v>
      </c>
      <c r="F350" s="22">
        <f t="shared" si="593"/>
        <v>6.4819999999999975</v>
      </c>
      <c r="G350" s="23">
        <f>SUM(C350:F350)</f>
        <v>7.9799999999999986</v>
      </c>
      <c r="H350" s="22">
        <f>H346-F346-H351</f>
        <v>21.942000000000007</v>
      </c>
      <c r="I350" s="22">
        <f t="shared" si="593"/>
        <v>4.2279999999999927</v>
      </c>
      <c r="J350" s="22">
        <f t="shared" si="593"/>
        <v>4.1010000000000062</v>
      </c>
      <c r="K350" s="22">
        <f t="shared" si="593"/>
        <v>5.1419999999999941</v>
      </c>
      <c r="L350" s="23">
        <f>SUM(H350:K350)</f>
        <v>35.413000000000004</v>
      </c>
      <c r="M350" s="22">
        <f>M346-K346-M351</f>
        <v>7.1089999999999964</v>
      </c>
      <c r="N350" s="22">
        <f t="shared" si="593"/>
        <v>2.7770000000000032</v>
      </c>
      <c r="O350" s="22">
        <f t="shared" si="593"/>
        <v>6.7089999999999943</v>
      </c>
      <c r="P350" s="22">
        <f t="shared" si="593"/>
        <v>6.6520000000000081</v>
      </c>
      <c r="Q350" s="23">
        <f>SUM(M350:P350)</f>
        <v>23.247</v>
      </c>
      <c r="R350" s="22">
        <f>R346-P346-R351</f>
        <v>2.8819999999999917</v>
      </c>
      <c r="S350" s="22">
        <f t="shared" si="593"/>
        <v>10.870000000000001</v>
      </c>
      <c r="T350" s="22">
        <f t="shared" si="593"/>
        <v>6.2410000000000005</v>
      </c>
      <c r="U350" s="22">
        <f t="shared" si="593"/>
        <v>6.0410000000000093</v>
      </c>
      <c r="V350" s="23">
        <f>SUM(R350:U350)</f>
        <v>26.033999999999999</v>
      </c>
      <c r="W350" s="22">
        <f>W346-U346-W351</f>
        <v>5.9129999999999958</v>
      </c>
      <c r="X350" s="22">
        <f t="shared" si="593"/>
        <v>15.737999999999996</v>
      </c>
      <c r="Y350" s="22">
        <f t="shared" si="593"/>
        <v>6.983000000000005</v>
      </c>
      <c r="Z350" s="22">
        <f t="shared" si="593"/>
        <v>37.771999999999984</v>
      </c>
      <c r="AA350" s="23">
        <f>SUM(W350:Z350)</f>
        <v>66.405999999999977</v>
      </c>
      <c r="AB350" s="22">
        <f>AB346-Z346-AB351</f>
        <v>-0.43899999999999118</v>
      </c>
      <c r="AC350" s="22">
        <f t="shared" si="593"/>
        <v>4.1569999999999956</v>
      </c>
      <c r="AD350" s="22">
        <f t="shared" si="593"/>
        <v>28.768000000000008</v>
      </c>
      <c r="AE350" s="22">
        <f t="shared" si="593"/>
        <v>6.8020000000000111</v>
      </c>
      <c r="AF350" s="23">
        <f>SUM(AB350:AE350)</f>
        <v>39.288000000000025</v>
      </c>
      <c r="AG350" s="22">
        <f>AG346-AE346-AG351</f>
        <v>12.009000000000004</v>
      </c>
      <c r="AH350" s="22">
        <f>AH346-AG346-AH351</f>
        <v>5.4948029047815563</v>
      </c>
      <c r="AI350" s="22">
        <f>AI346-AH346-AI351</f>
        <v>20.458148359327005</v>
      </c>
      <c r="AJ350" s="22">
        <f>AJ346-AI346-AJ351</f>
        <v>10.667085129309985</v>
      </c>
      <c r="AK350" s="23">
        <f>SUM(AG350:AJ350)</f>
        <v>48.629036393418545</v>
      </c>
      <c r="AL350" s="23">
        <f>AL346-AK346-AL351</f>
        <v>54.476474651099075</v>
      </c>
      <c r="AM350" s="23">
        <f>AM346-AL346-AM351</f>
        <v>60.787084143564087</v>
      </c>
      <c r="AN350" s="23">
        <f t="shared" ref="AN350:AT350" si="594">AN346-AM346-AN351</f>
        <v>67.592563398647869</v>
      </c>
      <c r="AO350" s="23">
        <f t="shared" si="594"/>
        <v>74.926622868881097</v>
      </c>
      <c r="AP350" s="23">
        <f t="shared" si="594"/>
        <v>82.825106877641048</v>
      </c>
      <c r="AQ350" s="23">
        <f t="shared" si="594"/>
        <v>91.326122730104828</v>
      </c>
      <c r="AR350" s="23">
        <f t="shared" si="594"/>
        <v>100.47017740062076</v>
      </c>
      <c r="AS350" s="23">
        <f t="shared" si="594"/>
        <v>110.30032223136318</v>
      </c>
      <c r="AT350" s="23">
        <f t="shared" si="594"/>
        <v>120.86230610167817</v>
      </c>
      <c r="AU350" s="8" t="s">
        <v>29</v>
      </c>
    </row>
    <row r="351" spans="1:47" ht="16.2" customHeight="1" x14ac:dyDescent="0.3">
      <c r="B351" s="20" t="s">
        <v>205</v>
      </c>
      <c r="C351" s="22"/>
      <c r="D351" s="22">
        <f t="shared" ref="D351:AE351" si="595">D358</f>
        <v>-2.0030000000000001</v>
      </c>
      <c r="E351" s="22">
        <f t="shared" si="595"/>
        <v>-2.0230000000000001</v>
      </c>
      <c r="F351" s="22">
        <f t="shared" si="595"/>
        <v>-1.859</v>
      </c>
      <c r="G351" s="23">
        <f>SUM(C351:F351)</f>
        <v>-5.8849999999999998</v>
      </c>
      <c r="H351" s="22">
        <f t="shared" si="595"/>
        <v>-1.7070000000000001</v>
      </c>
      <c r="I351" s="22">
        <f t="shared" si="595"/>
        <v>-1.7949999999999999</v>
      </c>
      <c r="J351" s="22">
        <f t="shared" si="595"/>
        <v>-2.5550000000000002</v>
      </c>
      <c r="K351" s="22">
        <f t="shared" si="595"/>
        <v>-2.4140000000000001</v>
      </c>
      <c r="L351" s="23">
        <f>SUM(H351:K351)</f>
        <v>-8.4710000000000001</v>
      </c>
      <c r="M351" s="22">
        <f t="shared" si="595"/>
        <v>-2.8239999999999998</v>
      </c>
      <c r="N351" s="22">
        <f t="shared" si="595"/>
        <v>-3.0710000000000002</v>
      </c>
      <c r="O351" s="22">
        <f t="shared" si="595"/>
        <v>-3.2189999999999999</v>
      </c>
      <c r="P351" s="22">
        <f t="shared" si="595"/>
        <v>-3.7010000000000001</v>
      </c>
      <c r="Q351" s="23">
        <f>SUM(M351:P351)</f>
        <v>-12.815</v>
      </c>
      <c r="R351" s="22">
        <f t="shared" si="595"/>
        <v>-3.8570000000000002</v>
      </c>
      <c r="S351" s="22">
        <f t="shared" si="595"/>
        <v>-3.9889999999999999</v>
      </c>
      <c r="T351" s="22">
        <f t="shared" si="595"/>
        <v>-4.2320000000000002</v>
      </c>
      <c r="U351" s="22">
        <f t="shared" si="595"/>
        <v>-4.2949999999999999</v>
      </c>
      <c r="V351" s="23">
        <f>SUM(R351:U351)</f>
        <v>-16.372999999999998</v>
      </c>
      <c r="W351" s="22">
        <f t="shared" si="595"/>
        <v>-4.2619999999999996</v>
      </c>
      <c r="X351" s="22">
        <f t="shared" si="595"/>
        <v>-4.3159999999999998</v>
      </c>
      <c r="Y351" s="22">
        <f t="shared" si="595"/>
        <v>-4.47</v>
      </c>
      <c r="Z351" s="22">
        <f t="shared" si="595"/>
        <v>-4.57</v>
      </c>
      <c r="AA351" s="23">
        <f>SUM(W351:Z351)</f>
        <v>-17.617999999999999</v>
      </c>
      <c r="AB351" s="22">
        <f t="shared" si="595"/>
        <v>-4.6959999999999997</v>
      </c>
      <c r="AC351" s="22">
        <f t="shared" si="595"/>
        <v>-5.0209999999999999</v>
      </c>
      <c r="AD351" s="22">
        <f t="shared" si="595"/>
        <v>-4.8620000000000001</v>
      </c>
      <c r="AE351" s="22">
        <f t="shared" si="595"/>
        <v>-5.1269999999999998</v>
      </c>
      <c r="AF351" s="23">
        <f>SUM(AB351:AE351)</f>
        <v>-19.706</v>
      </c>
      <c r="AG351" s="22">
        <f>AG358</f>
        <v>-5.2759999999999998</v>
      </c>
      <c r="AH351" s="22">
        <f>AH352*AG346</f>
        <v>-5.4948029047815563</v>
      </c>
      <c r="AI351" s="22">
        <f>AI352*AH346</f>
        <v>-5.4948029047815563</v>
      </c>
      <c r="AJ351" s="22">
        <f>AJ352*AI346</f>
        <v>-5.9810680838554369</v>
      </c>
      <c r="AK351" s="23">
        <f>SUM(AG351:AJ351)</f>
        <v>-22.246673893418549</v>
      </c>
      <c r="AL351" s="23">
        <f>AL352*AK346</f>
        <v>-25.86175840109906</v>
      </c>
      <c r="AM351" s="23">
        <f>AM352*AL346</f>
        <v>-29.782734674814083</v>
      </c>
      <c r="AN351" s="23">
        <f t="shared" ref="AN351:AT351" si="596">AN352*AM346</f>
        <v>-34.031154179897854</v>
      </c>
      <c r="AO351" s="23">
        <f t="shared" si="596"/>
        <v>-38.629958798802974</v>
      </c>
      <c r="AP351" s="23">
        <f t="shared" si="596"/>
        <v>-43.603565994148852</v>
      </c>
      <c r="AQ351" s="23">
        <f t="shared" si="596"/>
        <v>-48.977959012032322</v>
      </c>
      <c r="AR351" s="23">
        <f t="shared" si="596"/>
        <v>-54.780782416718765</v>
      </c>
      <c r="AS351" s="23">
        <f t="shared" si="596"/>
        <v>-61.041443264343755</v>
      </c>
      <c r="AT351" s="23">
        <f t="shared" si="596"/>
        <v>-67.79121824068946</v>
      </c>
      <c r="AU351" s="8" t="s">
        <v>29</v>
      </c>
    </row>
    <row r="352" spans="1:47" ht="16.2" customHeight="1" x14ac:dyDescent="0.3">
      <c r="B352" s="24" t="s">
        <v>206</v>
      </c>
      <c r="C352" s="21"/>
      <c r="D352" s="21">
        <f t="shared" ref="D352:AE352" si="597">D351/C346</f>
        <v>-4.4656990613782803E-2</v>
      </c>
      <c r="E352" s="21">
        <f t="shared" si="597"/>
        <v>-4.7212303671030839E-2</v>
      </c>
      <c r="F352" s="21">
        <f t="shared" si="597"/>
        <v>-4.3922031896042525E-2</v>
      </c>
      <c r="G352" s="14"/>
      <c r="H352" s="21">
        <f>H351/F346</f>
        <v>-3.6359376331260115E-2</v>
      </c>
      <c r="I352" s="21">
        <f t="shared" si="597"/>
        <v>-2.6718068559010461E-2</v>
      </c>
      <c r="J352" s="21">
        <f t="shared" si="597"/>
        <v>-3.6701333026890375E-2</v>
      </c>
      <c r="K352" s="21">
        <f t="shared" si="597"/>
        <v>-3.3922599139990441E-2</v>
      </c>
      <c r="L352" s="14">
        <f>L351/F346</f>
        <v>-0.18043367129590185</v>
      </c>
      <c r="M352" s="21">
        <f>M351/K346</f>
        <v>-3.8218974150764647E-2</v>
      </c>
      <c r="N352" s="21">
        <f t="shared" si="597"/>
        <v>-3.9283658458586508E-2</v>
      </c>
      <c r="O352" s="21">
        <f t="shared" si="597"/>
        <v>-4.1332289005020478E-2</v>
      </c>
      <c r="P352" s="21">
        <f t="shared" si="597"/>
        <v>-4.5483034496319331E-2</v>
      </c>
      <c r="Q352" s="14">
        <f>Q351/K346</f>
        <v>-0.17343348220327512</v>
      </c>
      <c r="R352" s="21">
        <f>R351/P346</f>
        <v>-4.5741324921135647E-2</v>
      </c>
      <c r="S352" s="21">
        <f t="shared" si="597"/>
        <v>-4.786015093524662E-2</v>
      </c>
      <c r="T352" s="21">
        <f t="shared" si="597"/>
        <v>-4.6903400274859251E-2</v>
      </c>
      <c r="U352" s="21">
        <f t="shared" si="597"/>
        <v>-4.6564827563775925E-2</v>
      </c>
      <c r="V352" s="14">
        <f>V351/P346</f>
        <v>-0.19417233936576453</v>
      </c>
      <c r="W352" s="21">
        <f>W351/U346</f>
        <v>-4.534862687932923E-2</v>
      </c>
      <c r="X352" s="21">
        <f t="shared" si="597"/>
        <v>-4.5130392956479914E-2</v>
      </c>
      <c r="Y352" s="21">
        <f t="shared" si="597"/>
        <v>-4.1753848453146017E-2</v>
      </c>
      <c r="Z352" s="21">
        <f t="shared" si="597"/>
        <v>-4.1708877510974823E-2</v>
      </c>
      <c r="AA352" s="14">
        <f>AA351/U346</f>
        <v>-0.18745943415298508</v>
      </c>
      <c r="AB352" s="21">
        <f>AB351/Z346</f>
        <v>-3.2891833775766786E-2</v>
      </c>
      <c r="AC352" s="21">
        <f t="shared" si="597"/>
        <v>-3.6480281321747215E-2</v>
      </c>
      <c r="AD352" s="21">
        <f t="shared" si="597"/>
        <v>-3.554821162226187E-2</v>
      </c>
      <c r="AE352" s="21">
        <f t="shared" si="597"/>
        <v>-3.1908537572038487E-2</v>
      </c>
      <c r="AF352" s="14">
        <f>AF351/Z346</f>
        <v>-0.13802522921321558</v>
      </c>
      <c r="AG352" s="21">
        <f>AG351/AE346</f>
        <v>-3.2497089674967505E-2</v>
      </c>
      <c r="AH352" s="65">
        <f t="shared" ref="AH352:AJ352" si="598">AG352</f>
        <v>-3.2497089674967505E-2</v>
      </c>
      <c r="AI352" s="65">
        <f t="shared" si="598"/>
        <v>-3.2497089674967505E-2</v>
      </c>
      <c r="AJ352" s="65">
        <f t="shared" si="598"/>
        <v>-3.2497089674967505E-2</v>
      </c>
      <c r="AK352" s="109">
        <f>AK351/AE346</f>
        <v>-0.13702656491360521</v>
      </c>
      <c r="AL352" s="79">
        <f>AK352</f>
        <v>-0.13702656491360521</v>
      </c>
      <c r="AM352" s="79">
        <f t="shared" ref="AM352" si="599">AL352</f>
        <v>-0.13702656491360521</v>
      </c>
      <c r="AN352" s="79">
        <f t="shared" ref="AN352:AT352" si="600">AM352</f>
        <v>-0.13702656491360521</v>
      </c>
      <c r="AO352" s="79">
        <f t="shared" si="600"/>
        <v>-0.13702656491360521</v>
      </c>
      <c r="AP352" s="79">
        <f t="shared" si="600"/>
        <v>-0.13702656491360521</v>
      </c>
      <c r="AQ352" s="79">
        <f t="shared" si="600"/>
        <v>-0.13702656491360521</v>
      </c>
      <c r="AR352" s="79">
        <f t="shared" si="600"/>
        <v>-0.13702656491360521</v>
      </c>
      <c r="AS352" s="79">
        <f t="shared" si="600"/>
        <v>-0.13702656491360521</v>
      </c>
      <c r="AT352" s="79">
        <f t="shared" si="600"/>
        <v>-0.13702656491360521</v>
      </c>
      <c r="AU352" s="8" t="s">
        <v>29</v>
      </c>
    </row>
    <row r="353" spans="1:47" ht="7.95" customHeight="1" x14ac:dyDescent="0.3">
      <c r="B353" s="35"/>
      <c r="G353" s="7"/>
      <c r="L353" s="7"/>
      <c r="Q353" s="7"/>
      <c r="V353" s="7"/>
      <c r="AA353" s="7"/>
      <c r="AF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8" t="s">
        <v>29</v>
      </c>
    </row>
    <row r="354" spans="1:47" ht="16.2" customHeight="1" x14ac:dyDescent="0.3">
      <c r="B354" s="35" t="s">
        <v>202</v>
      </c>
      <c r="C354" s="22">
        <f t="shared" ref="C354:AE354" si="601">C346</f>
        <v>44.853000000000002</v>
      </c>
      <c r="D354" s="22">
        <f t="shared" si="601"/>
        <v>42.848999999999997</v>
      </c>
      <c r="E354" s="22">
        <f t="shared" si="601"/>
        <v>42.325000000000003</v>
      </c>
      <c r="F354" s="22">
        <f t="shared" si="601"/>
        <v>46.948</v>
      </c>
      <c r="G354" s="23">
        <f>G346</f>
        <v>46.948</v>
      </c>
      <c r="H354" s="22">
        <f t="shared" si="601"/>
        <v>67.183000000000007</v>
      </c>
      <c r="I354" s="22">
        <f t="shared" si="601"/>
        <v>69.616</v>
      </c>
      <c r="J354" s="22">
        <f t="shared" si="601"/>
        <v>71.162000000000006</v>
      </c>
      <c r="K354" s="22">
        <f t="shared" si="601"/>
        <v>73.89</v>
      </c>
      <c r="L354" s="23">
        <f>L346</f>
        <v>73.89</v>
      </c>
      <c r="M354" s="22">
        <f t="shared" si="601"/>
        <v>78.174999999999997</v>
      </c>
      <c r="N354" s="22">
        <f t="shared" si="601"/>
        <v>77.881</v>
      </c>
      <c r="O354" s="22">
        <f t="shared" si="601"/>
        <v>81.370999999999995</v>
      </c>
      <c r="P354" s="22">
        <f t="shared" si="601"/>
        <v>84.322000000000003</v>
      </c>
      <c r="Q354" s="23">
        <f>Q346</f>
        <v>84.322000000000003</v>
      </c>
      <c r="R354" s="22">
        <f t="shared" si="601"/>
        <v>83.346999999999994</v>
      </c>
      <c r="S354" s="22">
        <f t="shared" si="601"/>
        <v>90.227999999999994</v>
      </c>
      <c r="T354" s="22">
        <f t="shared" si="601"/>
        <v>92.236999999999995</v>
      </c>
      <c r="U354" s="22">
        <f t="shared" si="601"/>
        <v>93.983000000000004</v>
      </c>
      <c r="V354" s="23">
        <f>V346</f>
        <v>93.983000000000004</v>
      </c>
      <c r="W354" s="22">
        <f t="shared" si="601"/>
        <v>95.634</v>
      </c>
      <c r="X354" s="22">
        <f t="shared" si="601"/>
        <v>107.056</v>
      </c>
      <c r="Y354" s="22">
        <f t="shared" si="601"/>
        <v>109.569</v>
      </c>
      <c r="Z354" s="22">
        <f t="shared" si="601"/>
        <v>142.77099999999999</v>
      </c>
      <c r="AA354" s="23">
        <f>AA346</f>
        <v>142.77099999999999</v>
      </c>
      <c r="AB354" s="22">
        <f t="shared" si="601"/>
        <v>137.636</v>
      </c>
      <c r="AC354" s="22">
        <f t="shared" si="601"/>
        <v>136.77199999999999</v>
      </c>
      <c r="AD354" s="22">
        <f t="shared" si="601"/>
        <v>160.678</v>
      </c>
      <c r="AE354" s="22">
        <f t="shared" si="601"/>
        <v>162.35300000000001</v>
      </c>
      <c r="AF354" s="23">
        <f>AF346</f>
        <v>162.35300000000001</v>
      </c>
      <c r="AG354" s="22">
        <f>AG346</f>
        <v>169.08600000000001</v>
      </c>
      <c r="AH354" s="22">
        <f>AH346</f>
        <v>169.08600000000001</v>
      </c>
      <c r="AI354" s="22">
        <f>AI346</f>
        <v>184.04934545454546</v>
      </c>
      <c r="AJ354" s="22">
        <f t="shared" ref="AJ354" si="602">AJ346</f>
        <v>188.73536250000001</v>
      </c>
      <c r="AK354" s="23">
        <f>AK346</f>
        <v>188.73536250000001</v>
      </c>
      <c r="AL354" s="23">
        <f>AL346</f>
        <v>217.35007875000002</v>
      </c>
      <c r="AM354" s="23">
        <f>AM346</f>
        <v>248.35442821875003</v>
      </c>
      <c r="AN354" s="23">
        <f t="shared" ref="AN354:AT354" si="603">AN346</f>
        <v>281.91583743750004</v>
      </c>
      <c r="AO354" s="23">
        <f t="shared" si="603"/>
        <v>318.21250150757817</v>
      </c>
      <c r="AP354" s="23">
        <f t="shared" si="603"/>
        <v>357.43404239107036</v>
      </c>
      <c r="AQ354" s="23">
        <f t="shared" si="603"/>
        <v>399.78220610914286</v>
      </c>
      <c r="AR354" s="23">
        <f t="shared" si="603"/>
        <v>445.47160109304485</v>
      </c>
      <c r="AS354" s="23">
        <f t="shared" si="603"/>
        <v>494.73048006006428</v>
      </c>
      <c r="AT354" s="23">
        <f t="shared" si="603"/>
        <v>547.80156792105299</v>
      </c>
      <c r="AU354" s="8" t="s">
        <v>29</v>
      </c>
    </row>
    <row r="355" spans="1:47" ht="16.2" customHeight="1" x14ac:dyDescent="0.3">
      <c r="B355" s="20" t="s">
        <v>207</v>
      </c>
      <c r="G355" s="7"/>
      <c r="L355" s="7"/>
      <c r="Q355" s="7"/>
      <c r="V355" s="7"/>
      <c r="AA355" s="7"/>
      <c r="AF355" s="7"/>
      <c r="AG355" s="22">
        <v>2.621</v>
      </c>
      <c r="AH355" s="22">
        <f>AH350</f>
        <v>5.4948029047815563</v>
      </c>
      <c r="AI355" s="22">
        <f t="shared" ref="AI355:AJ355" si="604">AI350</f>
        <v>20.458148359327005</v>
      </c>
      <c r="AJ355" s="22">
        <f t="shared" si="604"/>
        <v>10.667085129309985</v>
      </c>
      <c r="AK355" s="23"/>
      <c r="AL355" s="23">
        <f>AL350</f>
        <v>54.476474651099075</v>
      </c>
      <c r="AM355" s="23">
        <f>AM350</f>
        <v>60.787084143564087</v>
      </c>
      <c r="AN355" s="23">
        <f t="shared" ref="AN355:AT355" si="605">AN350</f>
        <v>67.592563398647869</v>
      </c>
      <c r="AO355" s="23">
        <f t="shared" si="605"/>
        <v>74.926622868881097</v>
      </c>
      <c r="AP355" s="23">
        <f t="shared" si="605"/>
        <v>82.825106877641048</v>
      </c>
      <c r="AQ355" s="23">
        <f t="shared" si="605"/>
        <v>91.326122730104828</v>
      </c>
      <c r="AR355" s="23">
        <f t="shared" si="605"/>
        <v>100.47017740062076</v>
      </c>
      <c r="AS355" s="23">
        <f t="shared" si="605"/>
        <v>110.30032223136318</v>
      </c>
      <c r="AT355" s="23">
        <f t="shared" si="605"/>
        <v>120.86230610167817</v>
      </c>
      <c r="AU355" s="8" t="s">
        <v>29</v>
      </c>
    </row>
    <row r="356" spans="1:47" ht="16.2" customHeight="1" x14ac:dyDescent="0.3">
      <c r="B356" s="20" t="s">
        <v>208</v>
      </c>
      <c r="G356" s="7"/>
      <c r="L356" s="7"/>
      <c r="Q356" s="7"/>
      <c r="V356" s="7"/>
      <c r="AA356" s="7"/>
      <c r="AF356" s="7"/>
      <c r="AG356" s="22">
        <v>0</v>
      </c>
      <c r="AH356" s="167"/>
      <c r="AI356" s="167"/>
      <c r="AJ356" s="167"/>
      <c r="AK356" s="168"/>
      <c r="AL356" s="168"/>
      <c r="AM356" s="168"/>
      <c r="AN356" s="168"/>
      <c r="AO356" s="168"/>
      <c r="AP356" s="168"/>
      <c r="AQ356" s="168"/>
      <c r="AR356" s="168"/>
      <c r="AS356" s="168"/>
      <c r="AT356" s="168"/>
      <c r="AU356" s="8" t="s">
        <v>29</v>
      </c>
    </row>
    <row r="357" spans="1:47" ht="16.2" customHeight="1" x14ac:dyDescent="0.3">
      <c r="B357" s="20" t="s">
        <v>209</v>
      </c>
      <c r="G357" s="7"/>
      <c r="L357" s="7"/>
      <c r="Q357" s="7"/>
      <c r="V357" s="7"/>
      <c r="AA357" s="7"/>
      <c r="AF357" s="7"/>
      <c r="AG357" s="22">
        <v>9.3879999999999999</v>
      </c>
      <c r="AH357" s="167"/>
      <c r="AI357" s="167"/>
      <c r="AJ357" s="167"/>
      <c r="AK357" s="168"/>
      <c r="AL357" s="168"/>
      <c r="AM357" s="168"/>
      <c r="AN357" s="168"/>
      <c r="AO357" s="168"/>
      <c r="AP357" s="168"/>
      <c r="AQ357" s="168"/>
      <c r="AR357" s="168"/>
      <c r="AS357" s="168"/>
      <c r="AT357" s="168"/>
      <c r="AU357" s="8" t="s">
        <v>29</v>
      </c>
    </row>
    <row r="358" spans="1:47" ht="16.2" customHeight="1" x14ac:dyDescent="0.3">
      <c r="B358" s="20" t="s">
        <v>210</v>
      </c>
      <c r="C358" s="22">
        <v>-1.9870000000000001</v>
      </c>
      <c r="D358" s="22">
        <v>-2.0030000000000001</v>
      </c>
      <c r="E358" s="22">
        <v>-2.0230000000000001</v>
      </c>
      <c r="F358" s="22">
        <v>-1.859</v>
      </c>
      <c r="G358" s="23">
        <f>SUM(C358:F358)</f>
        <v>-7.8719999999999999</v>
      </c>
      <c r="H358" s="22">
        <v>-1.7070000000000001</v>
      </c>
      <c r="I358" s="22">
        <v>-1.7949999999999999</v>
      </c>
      <c r="J358" s="22">
        <v>-2.5550000000000002</v>
      </c>
      <c r="K358" s="22">
        <v>-2.4140000000000001</v>
      </c>
      <c r="L358" s="23">
        <f>SUM(H358:K358)</f>
        <v>-8.4710000000000001</v>
      </c>
      <c r="M358" s="22">
        <v>-2.8239999999999998</v>
      </c>
      <c r="N358" s="22">
        <v>-3.0710000000000002</v>
      </c>
      <c r="O358" s="22">
        <v>-3.2189999999999999</v>
      </c>
      <c r="P358" s="22">
        <v>-3.7010000000000001</v>
      </c>
      <c r="Q358" s="23">
        <f>SUM(M358:P358)</f>
        <v>-12.815</v>
      </c>
      <c r="R358" s="22">
        <v>-3.8570000000000002</v>
      </c>
      <c r="S358" s="22">
        <v>-3.9889999999999999</v>
      </c>
      <c r="T358" s="22">
        <v>-4.2320000000000002</v>
      </c>
      <c r="U358" s="22">
        <v>-4.2949999999999999</v>
      </c>
      <c r="V358" s="23">
        <f>SUM(R358:U358)</f>
        <v>-16.372999999999998</v>
      </c>
      <c r="W358" s="22">
        <v>-4.2619999999999996</v>
      </c>
      <c r="X358" s="22">
        <v>-4.3159999999999998</v>
      </c>
      <c r="Y358" s="22">
        <v>-4.47</v>
      </c>
      <c r="Z358" s="22">
        <v>-4.57</v>
      </c>
      <c r="AA358" s="23">
        <f>SUM(W358:Z358)</f>
        <v>-17.617999999999999</v>
      </c>
      <c r="AB358" s="22">
        <v>-4.6959999999999997</v>
      </c>
      <c r="AC358" s="22">
        <v>-5.0209999999999999</v>
      </c>
      <c r="AD358" s="22">
        <v>-4.8620000000000001</v>
      </c>
      <c r="AE358" s="22">
        <v>-5.1269999999999998</v>
      </c>
      <c r="AF358" s="23">
        <f>SUM(AB358:AE358)</f>
        <v>-19.706</v>
      </c>
      <c r="AG358" s="22">
        <v>-5.2759999999999998</v>
      </c>
      <c r="AH358" s="22">
        <f>AH351</f>
        <v>-5.4948029047815563</v>
      </c>
      <c r="AI358" s="22">
        <f t="shared" ref="AI358:AJ358" si="606">AI351</f>
        <v>-5.4948029047815563</v>
      </c>
      <c r="AJ358" s="22">
        <f t="shared" si="606"/>
        <v>-5.9810680838554369</v>
      </c>
      <c r="AK358" s="23">
        <f>SUM(AG358:AJ358)</f>
        <v>-22.246673893418549</v>
      </c>
      <c r="AL358" s="23">
        <f>AL351</f>
        <v>-25.86175840109906</v>
      </c>
      <c r="AM358" s="23">
        <f>AM351</f>
        <v>-29.782734674814083</v>
      </c>
      <c r="AN358" s="23">
        <f t="shared" ref="AN358:AT358" si="607">AN351</f>
        <v>-34.031154179897854</v>
      </c>
      <c r="AO358" s="23">
        <f t="shared" si="607"/>
        <v>-38.629958798802974</v>
      </c>
      <c r="AP358" s="23">
        <f t="shared" si="607"/>
        <v>-43.603565994148852</v>
      </c>
      <c r="AQ358" s="23">
        <f t="shared" si="607"/>
        <v>-48.977959012032322</v>
      </c>
      <c r="AR358" s="23">
        <f t="shared" si="607"/>
        <v>-54.780782416718765</v>
      </c>
      <c r="AS358" s="23">
        <f t="shared" si="607"/>
        <v>-61.041443264343755</v>
      </c>
      <c r="AT358" s="23">
        <f t="shared" si="607"/>
        <v>-67.79121824068946</v>
      </c>
      <c r="AU358" s="8" t="s">
        <v>29</v>
      </c>
    </row>
    <row r="359" spans="1:47" ht="7.95" customHeight="1" x14ac:dyDescent="0.3">
      <c r="B359" s="35"/>
      <c r="G359" s="7"/>
      <c r="L359" s="7"/>
      <c r="Q359" s="7"/>
      <c r="V359" s="7"/>
      <c r="AA359" s="7"/>
      <c r="AF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8" t="s">
        <v>29</v>
      </c>
    </row>
    <row r="360" spans="1:47" ht="16.2" customHeight="1" x14ac:dyDescent="0.3">
      <c r="B360" s="25" t="s">
        <v>80</v>
      </c>
      <c r="C360" s="18">
        <f>C75+C81</f>
        <v>47.730000000000004</v>
      </c>
      <c r="D360" s="18">
        <f>D75+D81</f>
        <v>48.009</v>
      </c>
      <c r="E360" s="18">
        <f>E75+E81</f>
        <v>46.484999999999999</v>
      </c>
      <c r="F360" s="18">
        <f>F75+F81</f>
        <v>50.932799999999993</v>
      </c>
      <c r="G360" s="19">
        <f>F360</f>
        <v>50.932799999999993</v>
      </c>
      <c r="H360" s="18">
        <f>H75+H81</f>
        <v>72.253533377599993</v>
      </c>
      <c r="I360" s="18">
        <f>I75+I81</f>
        <v>75.3888882376</v>
      </c>
      <c r="J360" s="18">
        <f>J75+J81</f>
        <v>77.453483097599999</v>
      </c>
      <c r="K360" s="18">
        <f>K75+K81</f>
        <v>78.994487037599995</v>
      </c>
      <c r="L360" s="19">
        <f>K360</f>
        <v>78.994487037599995</v>
      </c>
      <c r="M360" s="18">
        <f>M75+M81</f>
        <v>84.150639777600006</v>
      </c>
      <c r="N360" s="18">
        <f>N75+N81</f>
        <v>84.709913917600005</v>
      </c>
      <c r="O360" s="18">
        <f>O75+O81</f>
        <v>88.827199397599998</v>
      </c>
      <c r="P360" s="18">
        <f>P75+P81</f>
        <v>91.3674957976</v>
      </c>
      <c r="Q360" s="19">
        <f>P360</f>
        <v>91.3674957976</v>
      </c>
      <c r="R360" s="18">
        <f>R75+R81</f>
        <v>91.0369805176</v>
      </c>
      <c r="S360" s="18">
        <f>S75+S81</f>
        <v>98.830134137599998</v>
      </c>
      <c r="T360" s="18">
        <f>T75+T81</f>
        <v>101.73905913760001</v>
      </c>
      <c r="U360" s="18">
        <f>U75+U81</f>
        <v>101.92722100760001</v>
      </c>
      <c r="V360" s="19">
        <f>U360</f>
        <v>101.92722100760001</v>
      </c>
      <c r="W360" s="18">
        <f>W75+W81</f>
        <v>103.1784253276</v>
      </c>
      <c r="X360" s="18">
        <f>X75+X81</f>
        <v>115.57551510760001</v>
      </c>
      <c r="Y360" s="18">
        <f>Y75+Y81</f>
        <v>118.92392287760001</v>
      </c>
      <c r="Z360" s="18">
        <f>Z75+Z81</f>
        <v>151.28356941999999</v>
      </c>
      <c r="AA360" s="19">
        <f>Z360</f>
        <v>151.28356941999999</v>
      </c>
      <c r="AB360" s="18">
        <f>AB75+AB81</f>
        <v>147.23138557000001</v>
      </c>
      <c r="AC360" s="18">
        <f>AC75+AC81</f>
        <v>146.32172259000001</v>
      </c>
      <c r="AD360" s="18">
        <f>AD75+AD81</f>
        <v>169.41575367999999</v>
      </c>
      <c r="AE360" s="18">
        <f>AE75+AE81</f>
        <v>170.92255275000002</v>
      </c>
      <c r="AF360" s="19">
        <f>AE360</f>
        <v>170.92255275000002</v>
      </c>
      <c r="AG360" s="18">
        <f>AG75+AG81</f>
        <v>178.83667943999998</v>
      </c>
      <c r="AH360" s="18">
        <f>AG360+AH355+AH357+AH358</f>
        <v>178.83667943999998</v>
      </c>
      <c r="AI360" s="18">
        <f t="shared" ref="AI360:AJ360" si="608">AH360+AI355+AI357+AI358</f>
        <v>193.80002489454543</v>
      </c>
      <c r="AJ360" s="18">
        <f t="shared" si="608"/>
        <v>198.48604193999998</v>
      </c>
      <c r="AK360" s="19">
        <f>AJ360</f>
        <v>198.48604193999998</v>
      </c>
      <c r="AL360" s="19">
        <f>AK360+AL355+AL357+AL358</f>
        <v>227.10075818999999</v>
      </c>
      <c r="AM360" s="19">
        <f>AL360+AM355+AM357+AM358</f>
        <v>258.10510765875</v>
      </c>
      <c r="AN360" s="19">
        <f t="shared" ref="AN360:AT360" si="609">AM360+AN355+AN357+AN358</f>
        <v>291.66651687750004</v>
      </c>
      <c r="AO360" s="19">
        <f t="shared" si="609"/>
        <v>327.96318094757817</v>
      </c>
      <c r="AP360" s="19">
        <f t="shared" si="609"/>
        <v>367.18472183107031</v>
      </c>
      <c r="AQ360" s="19">
        <f t="shared" si="609"/>
        <v>409.5328855491428</v>
      </c>
      <c r="AR360" s="19">
        <f t="shared" si="609"/>
        <v>455.2222805330448</v>
      </c>
      <c r="AS360" s="19">
        <f t="shared" si="609"/>
        <v>504.48115950006428</v>
      </c>
      <c r="AT360" s="19">
        <f t="shared" si="609"/>
        <v>557.55224736105299</v>
      </c>
      <c r="AU360" s="8" t="s">
        <v>29</v>
      </c>
    </row>
    <row r="361" spans="1:47" ht="7.95" customHeight="1" x14ac:dyDescent="0.3">
      <c r="B361" s="35"/>
      <c r="G361" s="7"/>
      <c r="L361" s="7"/>
      <c r="Q361" s="7"/>
      <c r="V361" s="7"/>
      <c r="AA361" s="7"/>
      <c r="AF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8" t="s">
        <v>29</v>
      </c>
    </row>
    <row r="362" spans="1:47" ht="16.2" customHeight="1" x14ac:dyDescent="0.3">
      <c r="B362" s="89" t="s">
        <v>211</v>
      </c>
      <c r="G362" s="7"/>
      <c r="L362" s="7"/>
      <c r="Q362" s="7"/>
      <c r="V362" s="7"/>
      <c r="AA362" s="7"/>
      <c r="AF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8" t="s">
        <v>29</v>
      </c>
    </row>
    <row r="363" spans="1:47" ht="16.2" customHeight="1" x14ac:dyDescent="0.3">
      <c r="B363" s="35" t="s">
        <v>212</v>
      </c>
      <c r="C363" s="22">
        <f>C358</f>
        <v>-1.9870000000000001</v>
      </c>
      <c r="D363" s="22">
        <f t="shared" ref="D363:AI363" si="610">D358</f>
        <v>-2.0030000000000001</v>
      </c>
      <c r="E363" s="22">
        <f t="shared" si="610"/>
        <v>-2.0230000000000001</v>
      </c>
      <c r="F363" s="22">
        <f t="shared" si="610"/>
        <v>-1.859</v>
      </c>
      <c r="G363" s="23">
        <f>SUM(C363:F363)</f>
        <v>-7.8719999999999999</v>
      </c>
      <c r="H363" s="22">
        <f t="shared" si="610"/>
        <v>-1.7070000000000001</v>
      </c>
      <c r="I363" s="22">
        <f t="shared" si="610"/>
        <v>-1.7949999999999999</v>
      </c>
      <c r="J363" s="22">
        <f t="shared" si="610"/>
        <v>-2.5550000000000002</v>
      </c>
      <c r="K363" s="22">
        <f t="shared" si="610"/>
        <v>-2.4140000000000001</v>
      </c>
      <c r="L363" s="23">
        <f>SUM(H363:K363)</f>
        <v>-8.4710000000000001</v>
      </c>
      <c r="M363" s="22">
        <f t="shared" si="610"/>
        <v>-2.8239999999999998</v>
      </c>
      <c r="N363" s="22">
        <f t="shared" si="610"/>
        <v>-3.0710000000000002</v>
      </c>
      <c r="O363" s="22">
        <f t="shared" si="610"/>
        <v>-3.2189999999999999</v>
      </c>
      <c r="P363" s="22">
        <f t="shared" si="610"/>
        <v>-3.7010000000000001</v>
      </c>
      <c r="Q363" s="23">
        <f>SUM(M363:P363)</f>
        <v>-12.815</v>
      </c>
      <c r="R363" s="22">
        <f t="shared" si="610"/>
        <v>-3.8570000000000002</v>
      </c>
      <c r="S363" s="22">
        <f t="shared" si="610"/>
        <v>-3.9889999999999999</v>
      </c>
      <c r="T363" s="22">
        <f t="shared" si="610"/>
        <v>-4.2320000000000002</v>
      </c>
      <c r="U363" s="22">
        <f t="shared" si="610"/>
        <v>-4.2949999999999999</v>
      </c>
      <c r="V363" s="23">
        <f>SUM(R363:U363)</f>
        <v>-16.372999999999998</v>
      </c>
      <c r="W363" s="22">
        <f t="shared" si="610"/>
        <v>-4.2619999999999996</v>
      </c>
      <c r="X363" s="22">
        <f t="shared" si="610"/>
        <v>-4.3159999999999998</v>
      </c>
      <c r="Y363" s="22">
        <f t="shared" si="610"/>
        <v>-4.47</v>
      </c>
      <c r="Z363" s="22">
        <f t="shared" si="610"/>
        <v>-4.57</v>
      </c>
      <c r="AA363" s="23">
        <f>SUM(W363:Z363)</f>
        <v>-17.617999999999999</v>
      </c>
      <c r="AB363" s="22">
        <f t="shared" si="610"/>
        <v>-4.6959999999999997</v>
      </c>
      <c r="AC363" s="22">
        <f t="shared" si="610"/>
        <v>-5.0209999999999999</v>
      </c>
      <c r="AD363" s="22">
        <f t="shared" si="610"/>
        <v>-4.8620000000000001</v>
      </c>
      <c r="AE363" s="22">
        <f t="shared" si="610"/>
        <v>-5.1269999999999998</v>
      </c>
      <c r="AF363" s="23">
        <f>SUM(AB363:AE363)</f>
        <v>-19.706</v>
      </c>
      <c r="AG363" s="22">
        <f t="shared" si="610"/>
        <v>-5.2759999999999998</v>
      </c>
      <c r="AH363" s="22">
        <f t="shared" si="610"/>
        <v>-5.4948029047815563</v>
      </c>
      <c r="AI363" s="22">
        <f t="shared" si="610"/>
        <v>-5.4948029047815563</v>
      </c>
      <c r="AJ363" s="22">
        <f>AJ358</f>
        <v>-5.9810680838554369</v>
      </c>
      <c r="AK363" s="23">
        <f>SUM(AG363:AJ363)</f>
        <v>-22.246673893418549</v>
      </c>
      <c r="AL363" s="23">
        <f>AL358</f>
        <v>-25.86175840109906</v>
      </c>
      <c r="AM363" s="23">
        <f>AM358</f>
        <v>-29.782734674814083</v>
      </c>
      <c r="AN363" s="23">
        <f t="shared" ref="AN363:AT363" si="611">AN358</f>
        <v>-34.031154179897854</v>
      </c>
      <c r="AO363" s="23">
        <f t="shared" si="611"/>
        <v>-38.629958798802974</v>
      </c>
      <c r="AP363" s="23">
        <f t="shared" si="611"/>
        <v>-43.603565994148852</v>
      </c>
      <c r="AQ363" s="23">
        <f t="shared" si="611"/>
        <v>-48.977959012032322</v>
      </c>
      <c r="AR363" s="23">
        <f t="shared" si="611"/>
        <v>-54.780782416718765</v>
      </c>
      <c r="AS363" s="23">
        <f t="shared" si="611"/>
        <v>-61.041443264343755</v>
      </c>
      <c r="AT363" s="23">
        <f t="shared" si="611"/>
        <v>-67.79121824068946</v>
      </c>
      <c r="AU363" s="8" t="s">
        <v>29</v>
      </c>
    </row>
    <row r="364" spans="1:47" ht="16.2" customHeight="1" x14ac:dyDescent="0.3">
      <c r="B364" s="35" t="s">
        <v>213</v>
      </c>
      <c r="C364" s="22">
        <f>C333</f>
        <v>-1.224</v>
      </c>
      <c r="D364" s="22">
        <f t="shared" ref="D364:AJ364" si="612">D333</f>
        <v>-1.1779999999999999</v>
      </c>
      <c r="E364" s="22">
        <f t="shared" si="612"/>
        <v>-1.482</v>
      </c>
      <c r="F364" s="22">
        <f t="shared" si="612"/>
        <v>-1.22</v>
      </c>
      <c r="G364" s="23">
        <f>SUM(C364:F364)</f>
        <v>-5.1040000000000001</v>
      </c>
      <c r="H364" s="22">
        <f t="shared" si="612"/>
        <v>-1.139</v>
      </c>
      <c r="I364" s="22">
        <f t="shared" si="612"/>
        <v>-1.657</v>
      </c>
      <c r="J364" s="22">
        <f t="shared" si="612"/>
        <v>-1.778</v>
      </c>
      <c r="K364" s="22">
        <f t="shared" si="612"/>
        <v>-1.327</v>
      </c>
      <c r="L364" s="23">
        <f>SUM(H364:K364)</f>
        <v>-5.9009999999999998</v>
      </c>
      <c r="M364" s="22">
        <f t="shared" si="612"/>
        <v>-1.9019999999999999</v>
      </c>
      <c r="N364" s="22">
        <f t="shared" si="612"/>
        <v>-1.976</v>
      </c>
      <c r="O364" s="22">
        <f t="shared" si="612"/>
        <v>-1.8120000000000001</v>
      </c>
      <c r="P364" s="22">
        <f t="shared" si="612"/>
        <v>-2.1989999999999998</v>
      </c>
      <c r="Q364" s="23">
        <f>SUM(M364:P364)</f>
        <v>-7.8890000000000002</v>
      </c>
      <c r="R364" s="22">
        <f t="shared" si="612"/>
        <v>-2.2029999999999998</v>
      </c>
      <c r="S364" s="22">
        <f t="shared" si="612"/>
        <v>-2.1859999999999999</v>
      </c>
      <c r="T364" s="22">
        <f t="shared" si="612"/>
        <v>-2.5390000000000001</v>
      </c>
      <c r="U364" s="22">
        <f t="shared" si="612"/>
        <v>-2.645</v>
      </c>
      <c r="V364" s="23">
        <f>SUM(R364:U364)</f>
        <v>-9.5729999999999986</v>
      </c>
      <c r="W364" s="22">
        <f t="shared" si="612"/>
        <v>-2.6070000000000002</v>
      </c>
      <c r="X364" s="22">
        <f t="shared" si="612"/>
        <v>-2.9829999999999997</v>
      </c>
      <c r="Y364" s="22">
        <f t="shared" si="612"/>
        <v>-3.1859999999999999</v>
      </c>
      <c r="Z364" s="22">
        <f t="shared" si="612"/>
        <v>-3.4809999999999999</v>
      </c>
      <c r="AA364" s="23">
        <f>SUM(W364:Z364)</f>
        <v>-12.257</v>
      </c>
      <c r="AB364" s="22">
        <f t="shared" si="612"/>
        <v>-4.3890000000000002</v>
      </c>
      <c r="AC364" s="22">
        <f t="shared" si="612"/>
        <v>-3.8180000000000005</v>
      </c>
      <c r="AD364" s="22">
        <f t="shared" si="612"/>
        <v>-4.5330000000000004</v>
      </c>
      <c r="AE364" s="22">
        <f t="shared" si="612"/>
        <v>-5.2399999999999975</v>
      </c>
      <c r="AF364" s="23">
        <f>SUM(AB364:AE364)</f>
        <v>-17.98</v>
      </c>
      <c r="AG364" s="22">
        <f t="shared" si="612"/>
        <v>-5.5259999999999998</v>
      </c>
      <c r="AH364" s="22">
        <f t="shared" si="612"/>
        <v>-5.7818671362281062</v>
      </c>
      <c r="AI364" s="22">
        <f t="shared" si="612"/>
        <v>-5.7818671362281062</v>
      </c>
      <c r="AJ364" s="22">
        <f t="shared" si="612"/>
        <v>-6.265638561657032</v>
      </c>
      <c r="AK364" s="23">
        <f>SUM(AG364:AJ364)</f>
        <v>-23.355372834113243</v>
      </c>
      <c r="AL364" s="23">
        <f>AL333</f>
        <v>-25.533842748479017</v>
      </c>
      <c r="AM364" s="23">
        <f>AM333</f>
        <v>-27.39812003712612</v>
      </c>
      <c r="AN364" s="23">
        <f t="shared" ref="AN364:AT364" si="613">AN333</f>
        <v>-29.073737354807388</v>
      </c>
      <c r="AO364" s="23">
        <f t="shared" si="613"/>
        <v>-30.520863521190829</v>
      </c>
      <c r="AP364" s="23">
        <f t="shared" si="613"/>
        <v>-31.695350414017391</v>
      </c>
      <c r="AQ364" s="23">
        <f t="shared" si="613"/>
        <v>-32.548360579168069</v>
      </c>
      <c r="AR364" s="23">
        <f t="shared" si="613"/>
        <v>-33.025966380407937</v>
      </c>
      <c r="AS364" s="23">
        <f t="shared" si="613"/>
        <v>-33.068718673065398</v>
      </c>
      <c r="AT364" s="23">
        <f t="shared" si="613"/>
        <v>-32.61118285044757</v>
      </c>
      <c r="AU364" s="8" t="s">
        <v>29</v>
      </c>
    </row>
    <row r="365" spans="1:47" ht="7.95" customHeight="1" x14ac:dyDescent="0.3">
      <c r="G365" s="7"/>
      <c r="L365" s="7"/>
      <c r="Q365" s="7"/>
      <c r="V365" s="7"/>
      <c r="AA365" s="7"/>
      <c r="AF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8" t="s">
        <v>29</v>
      </c>
    </row>
    <row r="366" spans="1:47" ht="16.2" customHeight="1" x14ac:dyDescent="0.3">
      <c r="A366" s="9" t="s">
        <v>30</v>
      </c>
      <c r="B366" s="10" t="s">
        <v>214</v>
      </c>
      <c r="C366" s="11"/>
      <c r="D366" s="11"/>
      <c r="E366" s="11"/>
      <c r="F366" s="11"/>
      <c r="G366" s="12"/>
      <c r="H366" s="11"/>
      <c r="I366" s="11"/>
      <c r="J366" s="11"/>
      <c r="K366" s="11"/>
      <c r="L366" s="12"/>
      <c r="M366" s="11"/>
      <c r="N366" s="11"/>
      <c r="O366" s="11"/>
      <c r="P366" s="11"/>
      <c r="Q366" s="12"/>
      <c r="R366" s="11"/>
      <c r="S366" s="11"/>
      <c r="T366" s="11"/>
      <c r="U366" s="11"/>
      <c r="V366" s="12"/>
      <c r="W366" s="11"/>
      <c r="X366" s="11"/>
      <c r="Y366" s="11"/>
      <c r="Z366" s="11"/>
      <c r="AA366" s="12"/>
      <c r="AB366" s="11"/>
      <c r="AC366" s="11"/>
      <c r="AD366" s="11"/>
      <c r="AE366" s="11"/>
      <c r="AF366" s="12"/>
      <c r="AG366" s="11"/>
      <c r="AH366" s="11"/>
      <c r="AI366" s="11"/>
      <c r="AJ366" s="11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8" t="s">
        <v>29</v>
      </c>
    </row>
    <row r="367" spans="1:47" ht="7.95" customHeight="1" x14ac:dyDescent="0.3">
      <c r="G367" s="7"/>
      <c r="L367" s="7"/>
      <c r="Q367" s="7"/>
      <c r="V367" s="7"/>
      <c r="AA367" s="7"/>
      <c r="AF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8" t="s">
        <v>29</v>
      </c>
    </row>
    <row r="368" spans="1:47" ht="16.2" customHeight="1" x14ac:dyDescent="0.3">
      <c r="B368" s="5" t="s">
        <v>215</v>
      </c>
      <c r="C368" s="28">
        <f>SUM(C371:C372)</f>
        <v>0.30099999999999999</v>
      </c>
      <c r="D368" s="28">
        <f t="shared" ref="D368:AJ368" si="614">SUM(D371:D372)</f>
        <v>2.8000000000000001E-2</v>
      </c>
      <c r="E368" s="28">
        <f t="shared" si="614"/>
        <v>0.29400000000000004</v>
      </c>
      <c r="F368" s="28">
        <f t="shared" si="614"/>
        <v>9.2029999999999994</v>
      </c>
      <c r="G368" s="29">
        <f>SUM(C368:F368)</f>
        <v>9.8259999999999987</v>
      </c>
      <c r="H368" s="28">
        <f t="shared" si="614"/>
        <v>0.54600000000000004</v>
      </c>
      <c r="I368" s="28">
        <f t="shared" si="614"/>
        <v>4.2700000000000005</v>
      </c>
      <c r="J368" s="28">
        <f t="shared" si="614"/>
        <v>3.8420000000000001</v>
      </c>
      <c r="K368" s="28">
        <f t="shared" si="614"/>
        <v>5.0020000000000007</v>
      </c>
      <c r="L368" s="29">
        <f>SUM(H368:K368)</f>
        <v>13.660000000000002</v>
      </c>
      <c r="M368" s="28">
        <f t="shared" si="614"/>
        <v>4.9410000000000007</v>
      </c>
      <c r="N368" s="28">
        <f t="shared" si="614"/>
        <v>22.134</v>
      </c>
      <c r="O368" s="28">
        <f t="shared" si="614"/>
        <v>20.573999999999998</v>
      </c>
      <c r="P368" s="28">
        <f t="shared" si="614"/>
        <v>8.8919999999999995</v>
      </c>
      <c r="Q368" s="29">
        <f>SUM(M368:P368)</f>
        <v>56.540999999999997</v>
      </c>
      <c r="R368" s="28">
        <f t="shared" si="614"/>
        <v>7.2409999999999997</v>
      </c>
      <c r="S368" s="28">
        <f t="shared" si="614"/>
        <v>7.7530000000000001</v>
      </c>
      <c r="T368" s="28">
        <f t="shared" si="614"/>
        <v>10.382000000000001</v>
      </c>
      <c r="U368" s="28">
        <f t="shared" si="614"/>
        <v>8.3369999999999997</v>
      </c>
      <c r="V368" s="29">
        <f>SUM(R368:U368)</f>
        <v>33.713000000000001</v>
      </c>
      <c r="W368" s="28">
        <f t="shared" si="614"/>
        <v>11.305</v>
      </c>
      <c r="X368" s="28">
        <f t="shared" si="614"/>
        <v>9.9580000000000002</v>
      </c>
      <c r="Y368" s="28">
        <f t="shared" si="614"/>
        <v>12.315000000000001</v>
      </c>
      <c r="Z368" s="28">
        <f t="shared" si="614"/>
        <v>11.603</v>
      </c>
      <c r="AA368" s="29">
        <f>SUM(W368:Z368)</f>
        <v>45.181000000000004</v>
      </c>
      <c r="AB368" s="28">
        <f t="shared" si="614"/>
        <v>8.9239999999999995</v>
      </c>
      <c r="AC368" s="28">
        <f t="shared" si="614"/>
        <v>11.782</v>
      </c>
      <c r="AD368" s="28">
        <f t="shared" si="614"/>
        <v>9.83</v>
      </c>
      <c r="AE368" s="28">
        <f t="shared" si="614"/>
        <v>15.571</v>
      </c>
      <c r="AF368" s="29">
        <f>SUM(AB368:AE368)</f>
        <v>46.106999999999999</v>
      </c>
      <c r="AG368" s="28">
        <f t="shared" si="614"/>
        <v>11.527000000000001</v>
      </c>
      <c r="AH368" s="28">
        <f t="shared" ca="1" si="614"/>
        <v>12.845005228466555</v>
      </c>
      <c r="AI368" s="28">
        <f t="shared" ca="1" si="614"/>
        <v>13.428331739289753</v>
      </c>
      <c r="AJ368" s="28">
        <f t="shared" ca="1" si="614"/>
        <v>17.13017209752471</v>
      </c>
      <c r="AK368" s="29">
        <f ca="1">SUM(AG368:AJ368)</f>
        <v>54.930509065281015</v>
      </c>
      <c r="AL368" s="29">
        <f ca="1">SUM(AL371:AL372)</f>
        <v>62.023814620762224</v>
      </c>
      <c r="AM368" s="29">
        <f ca="1">SUM(AM371:AM372)</f>
        <v>69.883471367126361</v>
      </c>
      <c r="AN368" s="29">
        <f t="shared" ref="AN368:AT368" ca="1" si="615">SUM(AN371:AN372)</f>
        <v>78.338275327613744</v>
      </c>
      <c r="AO368" s="29">
        <f t="shared" ca="1" si="615"/>
        <v>87.426014134164518</v>
      </c>
      <c r="AP368" s="29">
        <f t="shared" ca="1" si="615"/>
        <v>97.186666097920892</v>
      </c>
      <c r="AQ368" s="29">
        <f t="shared" ca="1" si="615"/>
        <v>107.66252057244922</v>
      </c>
      <c r="AR368" s="29">
        <f t="shared" ca="1" si="615"/>
        <v>118.89830472473133</v>
      </c>
      <c r="AS368" s="29">
        <f t="shared" ca="1" si="615"/>
        <v>130.94131705015724</v>
      </c>
      <c r="AT368" s="29">
        <f t="shared" ca="1" si="615"/>
        <v>143.84156798543171</v>
      </c>
      <c r="AU368" s="8" t="s">
        <v>29</v>
      </c>
    </row>
    <row r="369" spans="2:47" ht="16.2" customHeight="1" x14ac:dyDescent="0.3">
      <c r="B369" s="20" t="s">
        <v>43</v>
      </c>
      <c r="C369" s="21">
        <f>C368/C$16</f>
        <v>5.3621690953789148E-3</v>
      </c>
      <c r="D369" s="21">
        <f t="shared" ref="D369:AJ369" si="616">D368/D$16</f>
        <v>1.1948960867153161E-3</v>
      </c>
      <c r="E369" s="21">
        <f t="shared" si="616"/>
        <v>4.4365304521035796E-3</v>
      </c>
      <c r="F369" s="21">
        <f t="shared" si="616"/>
        <v>7.5754501560187204E-2</v>
      </c>
      <c r="G369" s="14">
        <f>G368/G16</f>
        <v>3.6757508919959055E-2</v>
      </c>
      <c r="H369" s="21">
        <f t="shared" si="616"/>
        <v>8.5696796572128139E-3</v>
      </c>
      <c r="I369" s="21">
        <f t="shared" si="616"/>
        <v>4.5214371181397525E-2</v>
      </c>
      <c r="J369" s="21">
        <f t="shared" si="616"/>
        <v>3.0789940648240383E-2</v>
      </c>
      <c r="K369" s="21">
        <f t="shared" si="616"/>
        <v>3.2981923775726826E-2</v>
      </c>
      <c r="L369" s="14">
        <f>L368/L16</f>
        <v>3.1431790946683739E-2</v>
      </c>
      <c r="M369" s="21">
        <f t="shared" si="616"/>
        <v>4.3910632398421676E-2</v>
      </c>
      <c r="N369" s="21">
        <f t="shared" si="616"/>
        <v>0.16839238301012605</v>
      </c>
      <c r="O369" s="21">
        <f t="shared" si="616"/>
        <v>0.1489283154900215</v>
      </c>
      <c r="P369" s="21">
        <f t="shared" si="616"/>
        <v>4.798394059747884E-2</v>
      </c>
      <c r="Q369" s="14">
        <f>Q368/Q16</f>
        <v>9.9644711380867265E-2</v>
      </c>
      <c r="R369" s="21">
        <f t="shared" si="616"/>
        <v>5.1104523960759402E-2</v>
      </c>
      <c r="S369" s="21">
        <f t="shared" si="616"/>
        <v>4.9770378424312235E-2</v>
      </c>
      <c r="T369" s="21">
        <f t="shared" si="616"/>
        <v>6.3197856021000989E-2</v>
      </c>
      <c r="U369" s="21">
        <f t="shared" si="616"/>
        <v>3.75630218025024E-2</v>
      </c>
      <c r="V369" s="14">
        <f>V368/V16</f>
        <v>4.931035183659447E-2</v>
      </c>
      <c r="W369" s="21">
        <f t="shared" si="616"/>
        <v>6.9727565980595929E-2</v>
      </c>
      <c r="X369" s="21">
        <f t="shared" si="616"/>
        <v>5.1864043082884552E-2</v>
      </c>
      <c r="Y369" s="21">
        <f t="shared" si="616"/>
        <v>6.0268676438201975E-2</v>
      </c>
      <c r="Z369" s="21">
        <f t="shared" si="616"/>
        <v>4.2456575591585527E-2</v>
      </c>
      <c r="AA369" s="14">
        <f>AA368/AA16</f>
        <v>5.4319821005844246E-2</v>
      </c>
      <c r="AB369" s="21">
        <f t="shared" si="616"/>
        <v>4.1938849360390246E-2</v>
      </c>
      <c r="AC369" s="21">
        <f t="shared" si="616"/>
        <v>4.866764976806242E-2</v>
      </c>
      <c r="AD369" s="21">
        <f t="shared" si="616"/>
        <v>3.6606846932733521E-2</v>
      </c>
      <c r="AE369" s="21">
        <f t="shared" si="616"/>
        <v>4.8191615135590178E-2</v>
      </c>
      <c r="AF369" s="14">
        <f>AF368/AF16</f>
        <v>4.4057784335010015E-2</v>
      </c>
      <c r="AG369" s="21">
        <f t="shared" si="616"/>
        <v>4.5895412449533768E-2</v>
      </c>
      <c r="AH369" s="21">
        <f t="shared" ca="1" si="616"/>
        <v>4.9299990173198506E-2</v>
      </c>
      <c r="AI369" s="21">
        <f t="shared" ca="1" si="616"/>
        <v>4.8812769528504094E-2</v>
      </c>
      <c r="AJ369" s="21">
        <f t="shared" ca="1" si="616"/>
        <v>4.6620305411185704E-2</v>
      </c>
      <c r="AK369" s="14">
        <f t="shared" ref="AK369:AT369" ca="1" si="617">AK368/AK16</f>
        <v>4.7590002286617666E-2</v>
      </c>
      <c r="AL369" s="14">
        <f t="shared" ca="1" si="617"/>
        <v>4.7092157214364765E-2</v>
      </c>
      <c r="AM369" s="14">
        <f t="shared" ca="1" si="617"/>
        <v>4.6651227550045915E-2</v>
      </c>
      <c r="AN369" s="14">
        <f t="shared" ca="1" si="617"/>
        <v>4.6275720937067139E-2</v>
      </c>
      <c r="AO369" s="14">
        <f t="shared" ca="1" si="617"/>
        <v>4.5952122693874352E-2</v>
      </c>
      <c r="AP369" s="14">
        <f t="shared" ca="1" si="617"/>
        <v>4.5670400507862023E-2</v>
      </c>
      <c r="AQ369" s="14">
        <f t="shared" ca="1" si="617"/>
        <v>4.5422950678270409E-2</v>
      </c>
      <c r="AR369" s="14">
        <f t="shared" ca="1" si="617"/>
        <v>4.5203905160509275E-2</v>
      </c>
      <c r="AS369" s="14">
        <f t="shared" ca="1" si="617"/>
        <v>4.500866306643779E-2</v>
      </c>
      <c r="AT369" s="14">
        <f t="shared" ca="1" si="617"/>
        <v>4.4833566144094922E-2</v>
      </c>
      <c r="AU369" s="8" t="s">
        <v>29</v>
      </c>
    </row>
    <row r="370" spans="2:47" ht="7.95" customHeight="1" x14ac:dyDescent="0.3">
      <c r="G370" s="7"/>
      <c r="L370" s="7"/>
      <c r="Q370" s="7"/>
      <c r="V370" s="7"/>
      <c r="AA370" s="7"/>
      <c r="AF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8" t="s">
        <v>29</v>
      </c>
    </row>
    <row r="371" spans="2:47" ht="16.2" customHeight="1" x14ac:dyDescent="0.3">
      <c r="B371" s="20" t="s">
        <v>216</v>
      </c>
      <c r="C371" s="22">
        <f>C422</f>
        <v>0.253</v>
      </c>
      <c r="D371" s="22">
        <f t="shared" ref="D371:AG371" si="618">D422</f>
        <v>0</v>
      </c>
      <c r="E371" s="22">
        <f t="shared" si="618"/>
        <v>0.26200000000000001</v>
      </c>
      <c r="F371" s="22">
        <f t="shared" si="618"/>
        <v>9.0549999999999997</v>
      </c>
      <c r="G371" s="23">
        <f>SUM(C371:F371)</f>
        <v>9.57</v>
      </c>
      <c r="H371" s="22">
        <f t="shared" si="618"/>
        <v>0.121</v>
      </c>
      <c r="I371" s="22">
        <f t="shared" si="618"/>
        <v>3.4790000000000001</v>
      </c>
      <c r="J371" s="22">
        <f t="shared" si="618"/>
        <v>2.5350000000000001</v>
      </c>
      <c r="K371" s="22">
        <f t="shared" si="618"/>
        <v>3.6840000000000002</v>
      </c>
      <c r="L371" s="23">
        <f>SUM(H371:K371)</f>
        <v>9.8189999999999991</v>
      </c>
      <c r="M371" s="22">
        <f t="shared" si="618"/>
        <v>3.5990000000000002</v>
      </c>
      <c r="N371" s="22">
        <f t="shared" si="618"/>
        <v>20.795999999999999</v>
      </c>
      <c r="O371" s="22">
        <f t="shared" si="618"/>
        <v>17.552</v>
      </c>
      <c r="P371" s="22">
        <f t="shared" si="618"/>
        <v>6.6449999999999996</v>
      </c>
      <c r="Q371" s="23">
        <f>SUM(M371:P371)</f>
        <v>48.591999999999999</v>
      </c>
      <c r="R371" s="22">
        <f t="shared" si="618"/>
        <v>4.3410000000000002</v>
      </c>
      <c r="S371" s="22">
        <f t="shared" si="618"/>
        <v>5.2229999999999999</v>
      </c>
      <c r="T371" s="22">
        <f t="shared" si="618"/>
        <v>4.1550000000000002</v>
      </c>
      <c r="U371" s="22">
        <f t="shared" si="618"/>
        <v>6.3620000000000001</v>
      </c>
      <c r="V371" s="23">
        <f>SUM(R371:U371)</f>
        <v>20.081000000000003</v>
      </c>
      <c r="W371" s="22">
        <f t="shared" si="618"/>
        <v>6.2969999999999997</v>
      </c>
      <c r="X371" s="22">
        <f t="shared" si="618"/>
        <v>8.49</v>
      </c>
      <c r="Y371" s="22">
        <f t="shared" si="618"/>
        <v>9.3960000000000008</v>
      </c>
      <c r="Z371" s="22">
        <f t="shared" si="618"/>
        <v>11.08</v>
      </c>
      <c r="AA371" s="23">
        <f>SUM(W371:Z371)</f>
        <v>35.262999999999998</v>
      </c>
      <c r="AB371" s="22">
        <f t="shared" si="618"/>
        <v>6.1289999999999996</v>
      </c>
      <c r="AC371" s="22">
        <f t="shared" si="618"/>
        <v>6.1980000000000004</v>
      </c>
      <c r="AD371" s="22">
        <f t="shared" si="618"/>
        <v>5.7880000000000003</v>
      </c>
      <c r="AE371" s="22">
        <f t="shared" si="618"/>
        <v>11.359</v>
      </c>
      <c r="AF371" s="23">
        <f>SUM(AB371:AE371)</f>
        <v>29.474000000000004</v>
      </c>
      <c r="AG371" s="22">
        <f t="shared" si="618"/>
        <v>7.5570000000000004</v>
      </c>
      <c r="AH371" s="33">
        <f ca="1">AH374</f>
        <v>10.239526975156553</v>
      </c>
      <c r="AI371" s="33">
        <f t="shared" ref="AI371:AJ371" ca="1" si="619">AI374</f>
        <v>10.677344268388657</v>
      </c>
      <c r="AJ371" s="33">
        <f t="shared" ca="1" si="619"/>
        <v>13.455770579465449</v>
      </c>
      <c r="AK371" s="34">
        <f ca="1">SUM(AG371:AJ371)</f>
        <v>41.929641823010662</v>
      </c>
      <c r="AL371" s="34">
        <f ca="1">AL374</f>
        <v>47.188925212318743</v>
      </c>
      <c r="AM371" s="34">
        <f ca="1">AM374</f>
        <v>53.010723406227825</v>
      </c>
      <c r="AN371" s="34">
        <f t="shared" ref="AN371:AT371" ca="1" si="620">AN374</f>
        <v>59.270710221606166</v>
      </c>
      <c r="AO371" s="34">
        <f t="shared" ca="1" si="620"/>
        <v>65.996638070236216</v>
      </c>
      <c r="AP371" s="34">
        <f t="shared" ca="1" si="620"/>
        <v>73.21786621445608</v>
      </c>
      <c r="AQ371" s="34">
        <f t="shared" ca="1" si="620"/>
        <v>80.965448989267841</v>
      </c>
      <c r="AR371" s="34">
        <f t="shared" ca="1" si="620"/>
        <v>89.272228719037699</v>
      </c>
      <c r="AS371" s="34">
        <f t="shared" ca="1" si="620"/>
        <v>98.172933575045761</v>
      </c>
      <c r="AT371" s="34">
        <f t="shared" ca="1" si="620"/>
        <v>107.70428063308803</v>
      </c>
      <c r="AU371" s="8" t="s">
        <v>29</v>
      </c>
    </row>
    <row r="372" spans="2:47" ht="16.2" customHeight="1" x14ac:dyDescent="0.3">
      <c r="B372" s="20" t="s">
        <v>217</v>
      </c>
      <c r="C372" s="22">
        <f>C448</f>
        <v>4.8000000000000001E-2</v>
      </c>
      <c r="D372" s="22">
        <f t="shared" ref="D372:AG372" si="621">D448</f>
        <v>2.8000000000000001E-2</v>
      </c>
      <c r="E372" s="22">
        <f t="shared" si="621"/>
        <v>3.2000000000000001E-2</v>
      </c>
      <c r="F372" s="22">
        <f t="shared" si="621"/>
        <v>0.14799999999999999</v>
      </c>
      <c r="G372" s="23">
        <f>SUM(C372:F372)</f>
        <v>0.25600000000000001</v>
      </c>
      <c r="H372" s="22">
        <f t="shared" si="621"/>
        <v>0.42499999999999999</v>
      </c>
      <c r="I372" s="22">
        <f t="shared" si="621"/>
        <v>0.79100000000000004</v>
      </c>
      <c r="J372" s="22">
        <f t="shared" si="621"/>
        <v>1.3069999999999999</v>
      </c>
      <c r="K372" s="22">
        <f t="shared" si="621"/>
        <v>1.3180000000000001</v>
      </c>
      <c r="L372" s="23">
        <f>SUM(H372:K372)</f>
        <v>3.8409999999999997</v>
      </c>
      <c r="M372" s="22">
        <f t="shared" si="621"/>
        <v>1.3420000000000001</v>
      </c>
      <c r="N372" s="22">
        <f t="shared" si="621"/>
        <v>1.3380000000000001</v>
      </c>
      <c r="O372" s="22">
        <f t="shared" si="621"/>
        <v>3.0219999999999998</v>
      </c>
      <c r="P372" s="22">
        <f t="shared" si="621"/>
        <v>2.2469999999999999</v>
      </c>
      <c r="Q372" s="23">
        <f>SUM(M372:P372)</f>
        <v>7.9489999999999998</v>
      </c>
      <c r="R372" s="22">
        <f t="shared" si="621"/>
        <v>2.9</v>
      </c>
      <c r="S372" s="22">
        <f t="shared" si="621"/>
        <v>2.5299999999999998</v>
      </c>
      <c r="T372" s="22">
        <f t="shared" si="621"/>
        <v>6.2270000000000003</v>
      </c>
      <c r="U372" s="22">
        <f t="shared" si="621"/>
        <v>1.9750000000000001</v>
      </c>
      <c r="V372" s="23">
        <f>SUM(R372:U372)</f>
        <v>13.632</v>
      </c>
      <c r="W372" s="22">
        <f t="shared" si="621"/>
        <v>5.008</v>
      </c>
      <c r="X372" s="22">
        <f t="shared" si="621"/>
        <v>1.468</v>
      </c>
      <c r="Y372" s="22">
        <f t="shared" si="621"/>
        <v>2.919</v>
      </c>
      <c r="Z372" s="22">
        <f t="shared" si="621"/>
        <v>0.52300000000000002</v>
      </c>
      <c r="AA372" s="23">
        <f>SUM(W372:Z372)</f>
        <v>9.9179999999999993</v>
      </c>
      <c r="AB372" s="22">
        <f t="shared" si="621"/>
        <v>2.7949999999999999</v>
      </c>
      <c r="AC372" s="22">
        <f t="shared" si="621"/>
        <v>5.5839999999999996</v>
      </c>
      <c r="AD372" s="22">
        <f t="shared" si="621"/>
        <v>4.0419999999999998</v>
      </c>
      <c r="AE372" s="22">
        <f t="shared" si="621"/>
        <v>4.2119999999999997</v>
      </c>
      <c r="AF372" s="23">
        <f>SUM(AB372:AE372)</f>
        <v>16.632999999999999</v>
      </c>
      <c r="AG372" s="22">
        <f t="shared" si="621"/>
        <v>3.97</v>
      </c>
      <c r="AH372" s="22">
        <f>AH391</f>
        <v>2.6054782533100029</v>
      </c>
      <c r="AI372" s="22">
        <f t="shared" ref="AI372:AJ372" si="622">AI391</f>
        <v>2.7509874709010957</v>
      </c>
      <c r="AJ372" s="22">
        <f t="shared" si="622"/>
        <v>3.67440151805926</v>
      </c>
      <c r="AK372" s="23">
        <f>SUM(AG372:AJ372)</f>
        <v>13.00086724227036</v>
      </c>
      <c r="AL372" s="23">
        <f>AL391</f>
        <v>14.834889408443484</v>
      </c>
      <c r="AM372" s="23">
        <f>AM391</f>
        <v>16.87274796089854</v>
      </c>
      <c r="AN372" s="23">
        <f t="shared" ref="AN372:AT372" si="623">AN391</f>
        <v>19.067565106007574</v>
      </c>
      <c r="AO372" s="23">
        <f t="shared" si="623"/>
        <v>21.429376063928295</v>
      </c>
      <c r="AP372" s="23">
        <f t="shared" si="623"/>
        <v>23.968799883464815</v>
      </c>
      <c r="AQ372" s="23">
        <f t="shared" si="623"/>
        <v>26.697071583181387</v>
      </c>
      <c r="AR372" s="23">
        <f t="shared" si="623"/>
        <v>29.626076005693633</v>
      </c>
      <c r="AS372" s="23">
        <f t="shared" si="623"/>
        <v>32.768383475111492</v>
      </c>
      <c r="AT372" s="23">
        <f t="shared" si="623"/>
        <v>36.137287352343684</v>
      </c>
      <c r="AU372" s="8" t="s">
        <v>29</v>
      </c>
    </row>
    <row r="373" spans="2:47" ht="7.95" customHeight="1" x14ac:dyDescent="0.3">
      <c r="G373" s="7"/>
      <c r="L373" s="7"/>
      <c r="Q373" s="7"/>
      <c r="V373" s="7"/>
      <c r="AA373" s="7"/>
      <c r="AF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8" t="s">
        <v>29</v>
      </c>
    </row>
    <row r="374" spans="2:47" ht="16.2" customHeight="1" x14ac:dyDescent="0.3">
      <c r="B374" s="5" t="s">
        <v>218</v>
      </c>
      <c r="C374" s="28">
        <f>C371</f>
        <v>0.253</v>
      </c>
      <c r="D374" s="28">
        <f t="shared" ref="D374:AG374" si="624">D371</f>
        <v>0</v>
      </c>
      <c r="E374" s="28">
        <f t="shared" si="624"/>
        <v>0.26200000000000001</v>
      </c>
      <c r="F374" s="28">
        <f t="shared" si="624"/>
        <v>9.0549999999999997</v>
      </c>
      <c r="G374" s="29">
        <f>SUM(C374:F374)</f>
        <v>9.57</v>
      </c>
      <c r="H374" s="28">
        <f t="shared" si="624"/>
        <v>0.121</v>
      </c>
      <c r="I374" s="28">
        <f t="shared" si="624"/>
        <v>3.4790000000000001</v>
      </c>
      <c r="J374" s="28">
        <f t="shared" si="624"/>
        <v>2.5350000000000001</v>
      </c>
      <c r="K374" s="28">
        <f t="shared" si="624"/>
        <v>3.6840000000000002</v>
      </c>
      <c r="L374" s="29">
        <f>SUM(H374:K374)</f>
        <v>9.8189999999999991</v>
      </c>
      <c r="M374" s="28">
        <f t="shared" si="624"/>
        <v>3.5990000000000002</v>
      </c>
      <c r="N374" s="28">
        <f t="shared" si="624"/>
        <v>20.795999999999999</v>
      </c>
      <c r="O374" s="28">
        <f t="shared" si="624"/>
        <v>17.552</v>
      </c>
      <c r="P374" s="28">
        <f t="shared" si="624"/>
        <v>6.6449999999999996</v>
      </c>
      <c r="Q374" s="29">
        <f>SUM(M374:P374)</f>
        <v>48.591999999999999</v>
      </c>
      <c r="R374" s="28">
        <f t="shared" si="624"/>
        <v>4.3410000000000002</v>
      </c>
      <c r="S374" s="28">
        <f t="shared" si="624"/>
        <v>5.2229999999999999</v>
      </c>
      <c r="T374" s="28">
        <f t="shared" si="624"/>
        <v>4.1550000000000002</v>
      </c>
      <c r="U374" s="28">
        <f t="shared" si="624"/>
        <v>6.3620000000000001</v>
      </c>
      <c r="V374" s="29">
        <f>SUM(R374:U374)</f>
        <v>20.081000000000003</v>
      </c>
      <c r="W374" s="28">
        <f t="shared" si="624"/>
        <v>6.2969999999999997</v>
      </c>
      <c r="X374" s="28">
        <f t="shared" si="624"/>
        <v>8.49</v>
      </c>
      <c r="Y374" s="28">
        <f t="shared" si="624"/>
        <v>9.3960000000000008</v>
      </c>
      <c r="Z374" s="28">
        <f t="shared" si="624"/>
        <v>11.08</v>
      </c>
      <c r="AA374" s="29">
        <f>SUM(W374:Z374)</f>
        <v>35.262999999999998</v>
      </c>
      <c r="AB374" s="28">
        <f t="shared" si="624"/>
        <v>6.1289999999999996</v>
      </c>
      <c r="AC374" s="28">
        <f t="shared" si="624"/>
        <v>6.1980000000000004</v>
      </c>
      <c r="AD374" s="28">
        <f t="shared" si="624"/>
        <v>5.7880000000000003</v>
      </c>
      <c r="AE374" s="28">
        <f t="shared" si="624"/>
        <v>11.359</v>
      </c>
      <c r="AF374" s="29">
        <f>SUM(AB374:AE374)</f>
        <v>29.474000000000004</v>
      </c>
      <c r="AG374" s="28">
        <f t="shared" si="624"/>
        <v>7.5570000000000004</v>
      </c>
      <c r="AH374" s="18">
        <f ca="1">AH377+AH384</f>
        <v>10.239526975156553</v>
      </c>
      <c r="AI374" s="18">
        <f t="shared" ref="AI374:AJ374" ca="1" si="625">AI377+AI384</f>
        <v>10.677344268388657</v>
      </c>
      <c r="AJ374" s="18">
        <f t="shared" ca="1" si="625"/>
        <v>13.455770579465449</v>
      </c>
      <c r="AK374" s="19">
        <f ca="1">SUM(AG374:AJ374)</f>
        <v>41.929641823010662</v>
      </c>
      <c r="AL374" s="19">
        <f ca="1">AL377+AL384</f>
        <v>47.188925212318743</v>
      </c>
      <c r="AM374" s="19">
        <f ca="1">AM377+AM384</f>
        <v>53.010723406227825</v>
      </c>
      <c r="AN374" s="19">
        <f t="shared" ref="AN374:AT374" ca="1" si="626">AN377+AN384</f>
        <v>59.270710221606166</v>
      </c>
      <c r="AO374" s="19">
        <f t="shared" ca="1" si="626"/>
        <v>65.996638070236216</v>
      </c>
      <c r="AP374" s="19">
        <f t="shared" ca="1" si="626"/>
        <v>73.21786621445608</v>
      </c>
      <c r="AQ374" s="19">
        <f t="shared" ca="1" si="626"/>
        <v>80.965448989267841</v>
      </c>
      <c r="AR374" s="19">
        <f t="shared" ca="1" si="626"/>
        <v>89.272228719037699</v>
      </c>
      <c r="AS374" s="19">
        <f t="shared" ca="1" si="626"/>
        <v>98.172933575045761</v>
      </c>
      <c r="AT374" s="19">
        <f t="shared" ca="1" si="626"/>
        <v>107.70428063308803</v>
      </c>
      <c r="AU374" s="8" t="s">
        <v>29</v>
      </c>
    </row>
    <row r="375" spans="2:47" ht="16.2" customHeight="1" x14ac:dyDescent="0.3">
      <c r="B375" s="20" t="s">
        <v>43</v>
      </c>
      <c r="C375" s="21">
        <f>C374/C$16</f>
        <v>4.5070723625610151E-3</v>
      </c>
      <c r="D375" s="21">
        <f t="shared" ref="D375:F375" si="627">D374/D$16</f>
        <v>0</v>
      </c>
      <c r="E375" s="21">
        <f t="shared" si="627"/>
        <v>3.9536427838474074E-3</v>
      </c>
      <c r="F375" s="21">
        <f t="shared" si="627"/>
        <v>7.4536239446647293E-2</v>
      </c>
      <c r="G375" s="14">
        <f>G374/G16</f>
        <v>3.5799853487075942E-2</v>
      </c>
      <c r="H375" s="21">
        <f t="shared" ref="H375:K375" si="628">H374/H$16</f>
        <v>1.8991414624958799E-3</v>
      </c>
      <c r="I375" s="21">
        <f t="shared" si="628"/>
        <v>3.6838594224843556E-2</v>
      </c>
      <c r="J375" s="21">
        <f t="shared" si="628"/>
        <v>2.0315590719232009E-2</v>
      </c>
      <c r="K375" s="21">
        <f t="shared" si="628"/>
        <v>2.4291364891998724E-2</v>
      </c>
      <c r="L375" s="14">
        <f>L374/L16</f>
        <v>2.2593613126316806E-2</v>
      </c>
      <c r="M375" s="21">
        <f t="shared" ref="M375:P375" si="629">M374/M$16</f>
        <v>3.1984287796381218E-2</v>
      </c>
      <c r="N375" s="21">
        <f t="shared" si="629"/>
        <v>0.15821306573952207</v>
      </c>
      <c r="O375" s="21">
        <f t="shared" si="629"/>
        <v>0.12705306666087574</v>
      </c>
      <c r="P375" s="21">
        <f t="shared" si="629"/>
        <v>3.5858444137454669E-2</v>
      </c>
      <c r="Q375" s="14">
        <f>Q374/Q16</f>
        <v>8.5635836214766323E-2</v>
      </c>
      <c r="R375" s="21">
        <f t="shared" ref="R375:U375" si="630">R374/R$16</f>
        <v>3.0637306796527632E-2</v>
      </c>
      <c r="S375" s="21">
        <f t="shared" si="630"/>
        <v>3.3529045080637532E-2</v>
      </c>
      <c r="T375" s="21">
        <f t="shared" si="630"/>
        <v>2.529253436402033E-2</v>
      </c>
      <c r="U375" s="21">
        <f t="shared" si="630"/>
        <v>2.8664500984469266E-2</v>
      </c>
      <c r="V375" s="14">
        <f>V374/V16</f>
        <v>2.937149394093239E-2</v>
      </c>
      <c r="W375" s="21">
        <f t="shared" ref="W375:Z375" si="631">W374/W$16</f>
        <v>3.883896355416299E-2</v>
      </c>
      <c r="X375" s="21">
        <f t="shared" si="631"/>
        <v>4.4218289392818827E-2</v>
      </c>
      <c r="Y375" s="21">
        <f t="shared" si="631"/>
        <v>4.5983311718501479E-2</v>
      </c>
      <c r="Z375" s="21">
        <f t="shared" si="631"/>
        <v>4.054286456560955E-2</v>
      </c>
      <c r="AA375" s="14">
        <f>AA374/AA16</f>
        <v>4.2395693945000895E-2</v>
      </c>
      <c r="AB375" s="21">
        <f t="shared" ref="AB375:AE375" si="632">AB374/AB$16</f>
        <v>2.8803586702132657E-2</v>
      </c>
      <c r="AC375" s="21">
        <f t="shared" si="632"/>
        <v>2.5601943070993966E-2</v>
      </c>
      <c r="AD375" s="21">
        <f t="shared" si="632"/>
        <v>2.1554468977279924E-2</v>
      </c>
      <c r="AE375" s="21">
        <f t="shared" si="632"/>
        <v>3.515564551571311E-2</v>
      </c>
      <c r="AF375" s="14">
        <f>AF374/AF16</f>
        <v>2.8164034430565543E-2</v>
      </c>
      <c r="AG375" s="21">
        <f t="shared" ref="AG375:AJ375" si="633">AG374/AG$16</f>
        <v>3.0088629468302826E-2</v>
      </c>
      <c r="AH375" s="21">
        <f t="shared" ca="1" si="633"/>
        <v>3.9299990173198504E-2</v>
      </c>
      <c r="AI375" s="21">
        <f t="shared" ca="1" si="633"/>
        <v>3.8812769528504085E-2</v>
      </c>
      <c r="AJ375" s="21">
        <f t="shared" ca="1" si="633"/>
        <v>3.6620305411185702E-2</v>
      </c>
      <c r="AK375" s="14">
        <f t="shared" ref="AK375:AT375" ca="1" si="634">AK374/AK16</f>
        <v>3.6326474743984399E-2</v>
      </c>
      <c r="AL375" s="14">
        <f t="shared" ca="1" si="634"/>
        <v>3.5828629671731498E-2</v>
      </c>
      <c r="AM375" s="14">
        <f t="shared" ca="1" si="634"/>
        <v>3.5387700007412655E-2</v>
      </c>
      <c r="AN375" s="14">
        <f t="shared" ca="1" si="634"/>
        <v>3.5012193394433871E-2</v>
      </c>
      <c r="AO375" s="14">
        <f t="shared" ca="1" si="634"/>
        <v>3.4688595151241085E-2</v>
      </c>
      <c r="AP375" s="14">
        <f t="shared" ca="1" si="634"/>
        <v>3.4406872965228763E-2</v>
      </c>
      <c r="AQ375" s="14">
        <f t="shared" ca="1" si="634"/>
        <v>3.4159423135637142E-2</v>
      </c>
      <c r="AR375" s="14">
        <f t="shared" ca="1" si="634"/>
        <v>3.3940377617876008E-2</v>
      </c>
      <c r="AS375" s="14">
        <f t="shared" ca="1" si="634"/>
        <v>3.374513552380453E-2</v>
      </c>
      <c r="AT375" s="14">
        <f t="shared" ca="1" si="634"/>
        <v>3.3570038601461662E-2</v>
      </c>
      <c r="AU375" s="8" t="s">
        <v>29</v>
      </c>
    </row>
    <row r="376" spans="2:47" ht="7.95" customHeight="1" x14ac:dyDescent="0.3">
      <c r="G376" s="7"/>
      <c r="L376" s="7"/>
      <c r="Q376" s="7"/>
      <c r="V376" s="7"/>
      <c r="AA376" s="7"/>
      <c r="AF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8" t="s">
        <v>29</v>
      </c>
    </row>
    <row r="377" spans="2:47" ht="16.2" customHeight="1" x14ac:dyDescent="0.3">
      <c r="B377" s="20" t="s">
        <v>219</v>
      </c>
      <c r="D377" s="22">
        <f>IF(D380*D381&gt;0,D380*D381,0)</f>
        <v>0.89545847596395289</v>
      </c>
      <c r="E377" s="22">
        <f t="shared" ref="E377:AJ377" si="635">IF(E380*E381&gt;0,E380*E381,0)</f>
        <v>0</v>
      </c>
      <c r="F377" s="22">
        <f t="shared" si="635"/>
        <v>2.6863754278918588</v>
      </c>
      <c r="G377" s="23">
        <f>SUM(C377:F377)</f>
        <v>3.5818339038558116</v>
      </c>
      <c r="H377" s="22">
        <f t="shared" ca="1" si="635"/>
        <v>0</v>
      </c>
      <c r="I377" s="22">
        <f t="shared" si="635"/>
        <v>0.94023139976215053</v>
      </c>
      <c r="J377" s="22">
        <f t="shared" si="635"/>
        <v>0.94023139976215053</v>
      </c>
      <c r="K377" s="22">
        <f t="shared" si="635"/>
        <v>0</v>
      </c>
      <c r="L377" s="23">
        <f ca="1">SUM(H377:K377)</f>
        <v>1.8804627995243011</v>
      </c>
      <c r="M377" s="22">
        <f t="shared" ca="1" si="635"/>
        <v>0</v>
      </c>
      <c r="N377" s="22">
        <f t="shared" si="635"/>
        <v>0.98724296975025816</v>
      </c>
      <c r="O377" s="22">
        <f t="shared" si="635"/>
        <v>0</v>
      </c>
      <c r="P377" s="22">
        <f t="shared" si="635"/>
        <v>1.9744859395005163</v>
      </c>
      <c r="Q377" s="23">
        <f ca="1">SUM(M377:P377)</f>
        <v>2.9617289092507746</v>
      </c>
      <c r="R377" s="22">
        <f t="shared" ca="1" si="635"/>
        <v>0</v>
      </c>
      <c r="S377" s="22">
        <f t="shared" si="635"/>
        <v>0</v>
      </c>
      <c r="T377" s="22">
        <f t="shared" si="635"/>
        <v>1.0366051182377711</v>
      </c>
      <c r="U377" s="22">
        <f t="shared" si="635"/>
        <v>1.0366051182377711</v>
      </c>
      <c r="V377" s="23">
        <f ca="1">SUM(R377:U377)</f>
        <v>2.0732102364755423</v>
      </c>
      <c r="W377" s="22">
        <f t="shared" ca="1" si="635"/>
        <v>2.1768707482993195</v>
      </c>
      <c r="X377" s="22">
        <f t="shared" si="635"/>
        <v>3.2653061224489792</v>
      </c>
      <c r="Y377" s="22">
        <f t="shared" si="635"/>
        <v>1.0884353741496597</v>
      </c>
      <c r="Z377" s="22">
        <f t="shared" si="635"/>
        <v>1.0884353741496597</v>
      </c>
      <c r="AA377" s="23">
        <f ca="1">SUM(W377:Z377)</f>
        <v>7.6190476190476168</v>
      </c>
      <c r="AB377" s="22">
        <f t="shared" ca="1" si="635"/>
        <v>0</v>
      </c>
      <c r="AC377" s="22">
        <f t="shared" si="635"/>
        <v>1.1428571428571428</v>
      </c>
      <c r="AD377" s="22">
        <f t="shared" si="635"/>
        <v>1.1428571428571428</v>
      </c>
      <c r="AE377" s="22">
        <f t="shared" si="635"/>
        <v>1.1428571428571428</v>
      </c>
      <c r="AF377" s="23">
        <f ca="1">SUM(AB377:AE377)</f>
        <v>3.4285714285714284</v>
      </c>
      <c r="AG377" s="22">
        <f t="shared" ca="1" si="635"/>
        <v>0</v>
      </c>
      <c r="AH377" s="22">
        <f t="shared" si="635"/>
        <v>2.4</v>
      </c>
      <c r="AI377" s="22">
        <f t="shared" si="635"/>
        <v>2.4</v>
      </c>
      <c r="AJ377" s="22">
        <f t="shared" si="635"/>
        <v>2.4</v>
      </c>
      <c r="AK377" s="23">
        <f ca="1">SUM(AG377:AJ377)</f>
        <v>7.1999999999999993</v>
      </c>
      <c r="AL377" s="23">
        <f ca="1">IF(AL380*AL381&gt;0,AL380*AL381,0)</f>
        <v>7.5600000000000005</v>
      </c>
      <c r="AM377" s="23">
        <f ca="1">IF(AM380*AM381&gt;0,AM380*AM381,0)</f>
        <v>7.9380000000000006</v>
      </c>
      <c r="AN377" s="23">
        <f t="shared" ref="AN377:AT377" ca="1" si="636">IF(AN380*AN381&gt;0,AN380*AN381,0)</f>
        <v>8.3349000000000011</v>
      </c>
      <c r="AO377" s="23">
        <f t="shared" ca="1" si="636"/>
        <v>8.7516450000000034</v>
      </c>
      <c r="AP377" s="23">
        <f t="shared" ca="1" si="636"/>
        <v>9.1892272500000036</v>
      </c>
      <c r="AQ377" s="23">
        <f t="shared" ca="1" si="636"/>
        <v>9.6486886125000044</v>
      </c>
      <c r="AR377" s="23">
        <f t="shared" ca="1" si="636"/>
        <v>10.131123043125005</v>
      </c>
      <c r="AS377" s="23">
        <f t="shared" ca="1" si="636"/>
        <v>10.637679195281256</v>
      </c>
      <c r="AT377" s="23">
        <f t="shared" ca="1" si="636"/>
        <v>11.169563155045321</v>
      </c>
      <c r="AU377" s="8" t="s">
        <v>29</v>
      </c>
    </row>
    <row r="378" spans="2:47" ht="16.2" customHeight="1" x14ac:dyDescent="0.3">
      <c r="B378" s="24" t="s">
        <v>43</v>
      </c>
      <c r="D378" s="21">
        <f t="shared" ref="D378:F378" si="637">D377/D$16</f>
        <v>3.8213565312335294E-2</v>
      </c>
      <c r="E378" s="21">
        <f t="shared" si="637"/>
        <v>0</v>
      </c>
      <c r="F378" s="21">
        <f t="shared" si="637"/>
        <v>2.2112901395575615E-2</v>
      </c>
      <c r="G378" s="14">
        <f>G377/G16</f>
        <v>1.3399073037939321E-2</v>
      </c>
      <c r="H378" s="21">
        <f t="shared" ref="H378:K378" ca="1" si="638">H377/H$16</f>
        <v>0</v>
      </c>
      <c r="I378" s="21">
        <f t="shared" si="638"/>
        <v>9.955965223712138E-3</v>
      </c>
      <c r="J378" s="21">
        <f t="shared" si="638"/>
        <v>7.5350517944530434E-3</v>
      </c>
      <c r="K378" s="21">
        <f t="shared" si="638"/>
        <v>0</v>
      </c>
      <c r="L378" s="14">
        <f ca="1">L377/L16</f>
        <v>4.3269629280866381E-3</v>
      </c>
      <c r="M378" s="21">
        <f t="shared" ref="M378:P378" ca="1" si="639">M377/M$16</f>
        <v>0</v>
      </c>
      <c r="N378" s="21">
        <f t="shared" si="639"/>
        <v>7.5108067356212055E-3</v>
      </c>
      <c r="O378" s="21">
        <f t="shared" si="639"/>
        <v>0</v>
      </c>
      <c r="P378" s="21">
        <f t="shared" si="639"/>
        <v>1.0654927578896758E-2</v>
      </c>
      <c r="Q378" s="14">
        <f ca="1">Q377/Q16</f>
        <v>5.2195861826049112E-3</v>
      </c>
      <c r="R378" s="21">
        <f t="shared" ref="R378:U378" ca="1" si="640">R377/R$16</f>
        <v>0</v>
      </c>
      <c r="S378" s="21">
        <f t="shared" si="640"/>
        <v>0</v>
      </c>
      <c r="T378" s="21">
        <f t="shared" si="640"/>
        <v>6.3100771540188167E-3</v>
      </c>
      <c r="U378" s="21">
        <f t="shared" si="640"/>
        <v>4.6705074555536729E-3</v>
      </c>
      <c r="V378" s="14">
        <f ca="1">V377/V16</f>
        <v>3.0323829440227273E-3</v>
      </c>
      <c r="W378" s="21">
        <f t="shared" ref="W378:Z378" ca="1" si="641">W377/W$16</f>
        <v>1.3426616429302967E-2</v>
      </c>
      <c r="X378" s="21">
        <f t="shared" si="641"/>
        <v>1.7006625568738758E-2</v>
      </c>
      <c r="Y378" s="21">
        <f t="shared" si="641"/>
        <v>5.3267202101923783E-3</v>
      </c>
      <c r="Z378" s="21">
        <f t="shared" si="641"/>
        <v>3.9826974695458678E-3</v>
      </c>
      <c r="AA378" s="14">
        <f ca="1">AA377/AA16</f>
        <v>9.1601625218935018E-3</v>
      </c>
      <c r="AB378" s="21">
        <f t="shared" ref="AB378:AE378" ca="1" si="642">AB377/AB$16</f>
        <v>0</v>
      </c>
      <c r="AC378" s="21">
        <f t="shared" si="642"/>
        <v>4.7207750096333314E-3</v>
      </c>
      <c r="AD378" s="21">
        <f t="shared" si="642"/>
        <v>4.2559915050409559E-3</v>
      </c>
      <c r="AE378" s="21">
        <f t="shared" si="642"/>
        <v>3.5370966272899383E-3</v>
      </c>
      <c r="AF378" s="14">
        <f ca="1">AF377/AF16</f>
        <v>3.2761893113231657E-3</v>
      </c>
      <c r="AG378" s="21">
        <f t="shared" ref="AG378:AJ378" ca="1" si="643">AG377/AG$16</f>
        <v>0</v>
      </c>
      <c r="AH378" s="21">
        <f t="shared" si="643"/>
        <v>9.2113607048956818E-3</v>
      </c>
      <c r="AI378" s="21">
        <f t="shared" si="643"/>
        <v>8.7241400602012607E-3</v>
      </c>
      <c r="AJ378" s="21">
        <f t="shared" si="643"/>
        <v>6.5316759428828792E-3</v>
      </c>
      <c r="AK378" s="14">
        <f t="shared" ref="AK378:AT378" ca="1" si="644">AK377/AK16</f>
        <v>6.2378452756815753E-3</v>
      </c>
      <c r="AL378" s="14">
        <f t="shared" ca="1" si="644"/>
        <v>5.7400002034286761E-3</v>
      </c>
      <c r="AM378" s="14">
        <f t="shared" ca="1" si="644"/>
        <v>5.2990705391098274E-3</v>
      </c>
      <c r="AN378" s="14">
        <f t="shared" ca="1" si="644"/>
        <v>4.9235639261310483E-3</v>
      </c>
      <c r="AO378" s="14">
        <f t="shared" ca="1" si="644"/>
        <v>4.5999656829382616E-3</v>
      </c>
      <c r="AP378" s="14">
        <f t="shared" ca="1" si="644"/>
        <v>4.3182434969259416E-3</v>
      </c>
      <c r="AQ378" s="14">
        <f t="shared" ca="1" si="644"/>
        <v>4.0707936673343176E-3</v>
      </c>
      <c r="AR378" s="14">
        <f t="shared" ca="1" si="644"/>
        <v>3.8517481495731871E-3</v>
      </c>
      <c r="AS378" s="14">
        <f t="shared" ca="1" si="644"/>
        <v>3.6565060555017095E-3</v>
      </c>
      <c r="AT378" s="14">
        <f t="shared" ca="1" si="644"/>
        <v>3.4814091331588385E-3</v>
      </c>
      <c r="AU378" s="8" t="s">
        <v>29</v>
      </c>
    </row>
    <row r="379" spans="2:47" ht="7.95" customHeight="1" x14ac:dyDescent="0.3">
      <c r="G379" s="7"/>
      <c r="L379" s="7"/>
      <c r="Q379" s="7"/>
      <c r="V379" s="7"/>
      <c r="AA379" s="7"/>
      <c r="AF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8" t="s">
        <v>29</v>
      </c>
    </row>
    <row r="380" spans="2:47" ht="16.2" customHeight="1" x14ac:dyDescent="0.3">
      <c r="B380" s="24" t="s">
        <v>220</v>
      </c>
      <c r="D380" s="69">
        <f>D211</f>
        <v>1</v>
      </c>
      <c r="E380" s="69">
        <f>E211</f>
        <v>-1</v>
      </c>
      <c r="F380" s="69">
        <f>F211</f>
        <v>3</v>
      </c>
      <c r="G380" s="70">
        <f>SUM(C380:F380)</f>
        <v>3</v>
      </c>
      <c r="H380" s="69">
        <f>H211</f>
        <v>0</v>
      </c>
      <c r="I380" s="69">
        <f>I211</f>
        <v>1</v>
      </c>
      <c r="J380" s="69">
        <f>J211</f>
        <v>1</v>
      </c>
      <c r="K380" s="69">
        <f>K211</f>
        <v>0</v>
      </c>
      <c r="L380" s="70">
        <f>SUM(H380:K380)</f>
        <v>2</v>
      </c>
      <c r="M380" s="69">
        <f>M211</f>
        <v>0</v>
      </c>
      <c r="N380" s="69">
        <f>N211</f>
        <v>1</v>
      </c>
      <c r="O380" s="69">
        <f>O211</f>
        <v>0</v>
      </c>
      <c r="P380" s="69">
        <f>P211</f>
        <v>2</v>
      </c>
      <c r="Q380" s="70">
        <f>SUM(M380:P380)</f>
        <v>3</v>
      </c>
      <c r="R380" s="69">
        <f>R211</f>
        <v>0</v>
      </c>
      <c r="S380" s="69">
        <f>S211</f>
        <v>0</v>
      </c>
      <c r="T380" s="69">
        <f>T211</f>
        <v>1</v>
      </c>
      <c r="U380" s="69">
        <f>U211</f>
        <v>1</v>
      </c>
      <c r="V380" s="70">
        <f>SUM(R380:U380)</f>
        <v>2</v>
      </c>
      <c r="W380" s="69">
        <f>W211</f>
        <v>2</v>
      </c>
      <c r="X380" s="69">
        <f>X211</f>
        <v>3</v>
      </c>
      <c r="Y380" s="69">
        <f>Y211</f>
        <v>1</v>
      </c>
      <c r="Z380" s="69">
        <f>Z211</f>
        <v>1</v>
      </c>
      <c r="AA380" s="70">
        <f>SUM(W380:Z380)</f>
        <v>7</v>
      </c>
      <c r="AB380" s="69">
        <f>AB211</f>
        <v>0</v>
      </c>
      <c r="AC380" s="69">
        <f>AC211</f>
        <v>1</v>
      </c>
      <c r="AD380" s="69">
        <f>AD211</f>
        <v>1</v>
      </c>
      <c r="AE380" s="69">
        <f>AE211</f>
        <v>1</v>
      </c>
      <c r="AF380" s="70">
        <f>SUM(AB380:AE380)</f>
        <v>3</v>
      </c>
      <c r="AG380" s="69">
        <f>AG211</f>
        <v>0</v>
      </c>
      <c r="AH380" s="69">
        <f>AH211</f>
        <v>2</v>
      </c>
      <c r="AI380" s="69">
        <f>AI211</f>
        <v>2</v>
      </c>
      <c r="AJ380" s="69">
        <f>AJ211</f>
        <v>2</v>
      </c>
      <c r="AK380" s="70">
        <f>SUM(AG380:AJ380)</f>
        <v>6</v>
      </c>
      <c r="AL380" s="70">
        <f t="shared" ref="AL380:AT380" si="645">AL211</f>
        <v>6</v>
      </c>
      <c r="AM380" s="70">
        <f t="shared" si="645"/>
        <v>6</v>
      </c>
      <c r="AN380" s="70">
        <f t="shared" si="645"/>
        <v>6</v>
      </c>
      <c r="AO380" s="70">
        <f t="shared" si="645"/>
        <v>6</v>
      </c>
      <c r="AP380" s="70">
        <f t="shared" si="645"/>
        <v>6</v>
      </c>
      <c r="AQ380" s="70">
        <f t="shared" si="645"/>
        <v>6</v>
      </c>
      <c r="AR380" s="70">
        <f t="shared" si="645"/>
        <v>6</v>
      </c>
      <c r="AS380" s="70">
        <f t="shared" si="645"/>
        <v>6</v>
      </c>
      <c r="AT380" s="70">
        <f t="shared" si="645"/>
        <v>6</v>
      </c>
      <c r="AU380" s="8" t="s">
        <v>29</v>
      </c>
    </row>
    <row r="381" spans="2:47" ht="16.2" customHeight="1" x14ac:dyDescent="0.3">
      <c r="B381" s="24" t="s">
        <v>221</v>
      </c>
      <c r="D381" s="90">
        <f>I381/(1+D382)</f>
        <v>0.89545847596395289</v>
      </c>
      <c r="E381" s="90">
        <f>J381/(1+E382)</f>
        <v>0.89545847596395289</v>
      </c>
      <c r="F381" s="90">
        <f>K381/(1+F382)</f>
        <v>0.89545847596395289</v>
      </c>
      <c r="G381" s="91">
        <f>G377/G380</f>
        <v>1.1939446346186038</v>
      </c>
      <c r="H381" s="90">
        <f ca="1">M381/(1+H382)</f>
        <v>0.94023139976215053</v>
      </c>
      <c r="I381" s="90">
        <f>N381/(1+I382)</f>
        <v>0.94023139976215053</v>
      </c>
      <c r="J381" s="90">
        <f>O381/(1+J382)</f>
        <v>0.94023139976215053</v>
      </c>
      <c r="K381" s="90">
        <f>P381/(1+K382)</f>
        <v>0.94023139976215053</v>
      </c>
      <c r="L381" s="91">
        <f ca="1">L377/L380</f>
        <v>0.94023139976215053</v>
      </c>
      <c r="M381" s="90">
        <f ca="1">R381/(1+M382)</f>
        <v>0.98724296975025816</v>
      </c>
      <c r="N381" s="90">
        <f>S381/(1+N382)</f>
        <v>0.98724296975025816</v>
      </c>
      <c r="O381" s="90">
        <f>T381/(1+O382)</f>
        <v>0.98724296975025816</v>
      </c>
      <c r="P381" s="90">
        <f>U381/(1+P382)</f>
        <v>0.98724296975025816</v>
      </c>
      <c r="Q381" s="91">
        <f ca="1">Q377/Q380</f>
        <v>0.98724296975025816</v>
      </c>
      <c r="R381" s="90">
        <f ca="1">W381/(1+R382)</f>
        <v>1.0366051182377711</v>
      </c>
      <c r="S381" s="90">
        <f>X381/(1+S382)</f>
        <v>1.0366051182377711</v>
      </c>
      <c r="T381" s="90">
        <f>Y381/(1+T382)</f>
        <v>1.0366051182377711</v>
      </c>
      <c r="U381" s="90">
        <f>Z381/(1+U382)</f>
        <v>1.0366051182377711</v>
      </c>
      <c r="V381" s="91">
        <f ca="1">V377/V380</f>
        <v>1.0366051182377711</v>
      </c>
      <c r="W381" s="90">
        <f ca="1">AB381/(1+W382)</f>
        <v>1.0884353741496597</v>
      </c>
      <c r="X381" s="90">
        <f>AC381/(1+X382)</f>
        <v>1.0884353741496597</v>
      </c>
      <c r="Y381" s="90">
        <f>AD381/(1+Y382)</f>
        <v>1.0884353741496597</v>
      </c>
      <c r="Z381" s="90">
        <f>AE381/(1+Z382)</f>
        <v>1.0884353741496597</v>
      </c>
      <c r="AA381" s="91">
        <f ca="1">AA377/AA380</f>
        <v>1.0884353741496595</v>
      </c>
      <c r="AB381" s="90">
        <f ca="1">AG381/(1+AB382)</f>
        <v>1.1428571428571428</v>
      </c>
      <c r="AC381" s="90">
        <f>AH381/(1+AC382)</f>
        <v>1.1428571428571428</v>
      </c>
      <c r="AD381" s="90">
        <f>AI381/(1+AD382)</f>
        <v>1.1428571428571428</v>
      </c>
      <c r="AE381" s="90">
        <f>AJ381/(1+AE382)</f>
        <v>1.1428571428571428</v>
      </c>
      <c r="AF381" s="91">
        <f ca="1">AF377/AF380</f>
        <v>1.1428571428571428</v>
      </c>
      <c r="AG381" s="90">
        <f ca="1">AL381/(1+AG382)</f>
        <v>1.2</v>
      </c>
      <c r="AH381" s="92">
        <v>1.2</v>
      </c>
      <c r="AI381" s="92">
        <v>1.2</v>
      </c>
      <c r="AJ381" s="92">
        <v>1.2</v>
      </c>
      <c r="AK381" s="118">
        <f ca="1">AK377/AK380</f>
        <v>1.2</v>
      </c>
      <c r="AL381" s="117">
        <f ca="1">AK381*(1+AL382)</f>
        <v>1.26</v>
      </c>
      <c r="AM381" s="117">
        <f ca="1">AL381*(1+AM382)</f>
        <v>1.3230000000000002</v>
      </c>
      <c r="AN381" s="117">
        <f t="shared" ref="AN381:AT381" ca="1" si="646">AM381*(1+AN382)</f>
        <v>1.3891500000000003</v>
      </c>
      <c r="AO381" s="117">
        <f t="shared" ca="1" si="646"/>
        <v>1.4586075000000005</v>
      </c>
      <c r="AP381" s="117">
        <f t="shared" ca="1" si="646"/>
        <v>1.5315378750000006</v>
      </c>
      <c r="AQ381" s="117">
        <f t="shared" ca="1" si="646"/>
        <v>1.6081147687500008</v>
      </c>
      <c r="AR381" s="117">
        <f t="shared" ca="1" si="646"/>
        <v>1.6885205071875009</v>
      </c>
      <c r="AS381" s="117">
        <f t="shared" ca="1" si="646"/>
        <v>1.7729465325468761</v>
      </c>
      <c r="AT381" s="117">
        <f t="shared" ca="1" si="646"/>
        <v>1.86159385917422</v>
      </c>
      <c r="AU381" s="8" t="s">
        <v>29</v>
      </c>
    </row>
    <row r="382" spans="2:47" ht="16.2" customHeight="1" x14ac:dyDescent="0.3">
      <c r="B382" s="24" t="s">
        <v>56</v>
      </c>
      <c r="D382" s="65">
        <f t="shared" ref="D382:AD382" si="647">E382</f>
        <v>0.05</v>
      </c>
      <c r="E382" s="65">
        <f t="shared" si="647"/>
        <v>0.05</v>
      </c>
      <c r="F382" s="65">
        <f>H382</f>
        <v>0.05</v>
      </c>
      <c r="G382" s="66"/>
      <c r="H382" s="65">
        <f t="shared" si="647"/>
        <v>0.05</v>
      </c>
      <c r="I382" s="65">
        <f t="shared" si="647"/>
        <v>0.05</v>
      </c>
      <c r="J382" s="65">
        <f t="shared" si="647"/>
        <v>0.05</v>
      </c>
      <c r="K382" s="65">
        <f>M382</f>
        <v>0.05</v>
      </c>
      <c r="L382" s="66">
        <f ca="1">L381/(SUM(C377:F377)/SUM(C380:F380))-1</f>
        <v>-0.21249999999999991</v>
      </c>
      <c r="M382" s="65">
        <f t="shared" si="647"/>
        <v>0.05</v>
      </c>
      <c r="N382" s="65">
        <f t="shared" si="647"/>
        <v>0.05</v>
      </c>
      <c r="O382" s="65">
        <f t="shared" si="647"/>
        <v>0.05</v>
      </c>
      <c r="P382" s="65">
        <f>R382</f>
        <v>0.05</v>
      </c>
      <c r="Q382" s="66">
        <f ca="1">Q381/(SUM(H377:K377)/SUM(H380:K380))-1</f>
        <v>5.0000000000000044E-2</v>
      </c>
      <c r="R382" s="65">
        <f t="shared" si="647"/>
        <v>0.05</v>
      </c>
      <c r="S382" s="65">
        <f t="shared" si="647"/>
        <v>0.05</v>
      </c>
      <c r="T382" s="65">
        <f t="shared" si="647"/>
        <v>0.05</v>
      </c>
      <c r="U382" s="65">
        <f>W382</f>
        <v>0.05</v>
      </c>
      <c r="V382" s="66">
        <f ca="1">V381/(SUM(M377:P377)/SUM(M380:P380))-1</f>
        <v>5.0000000000000044E-2</v>
      </c>
      <c r="W382" s="65">
        <f t="shared" si="647"/>
        <v>0.05</v>
      </c>
      <c r="X382" s="65">
        <f t="shared" si="647"/>
        <v>0.05</v>
      </c>
      <c r="Y382" s="65">
        <f t="shared" si="647"/>
        <v>0.05</v>
      </c>
      <c r="Z382" s="65">
        <f>AB382</f>
        <v>0.05</v>
      </c>
      <c r="AA382" s="66">
        <f ca="1">IFERROR(AA381/(SUM(R377:U377)/SUM(R380:U380))-1,"n/a")</f>
        <v>4.9999999999999822E-2</v>
      </c>
      <c r="AB382" s="65">
        <f t="shared" si="647"/>
        <v>0.05</v>
      </c>
      <c r="AC382" s="65">
        <f t="shared" si="647"/>
        <v>0.05</v>
      </c>
      <c r="AD382" s="65">
        <f t="shared" si="647"/>
        <v>0.05</v>
      </c>
      <c r="AE382" s="65">
        <f>AG382</f>
        <v>0.05</v>
      </c>
      <c r="AF382" s="66">
        <f ca="1">IFERROR(AF381/(SUM(W377:Z377)/SUM(W380:Z380))-1,"n/a")</f>
        <v>5.0000000000000266E-2</v>
      </c>
      <c r="AG382" s="26">
        <v>0.05</v>
      </c>
      <c r="AH382" s="93">
        <f>AH381/AC381-1</f>
        <v>5.0000000000000044E-2</v>
      </c>
      <c r="AI382" s="93">
        <f>AI381/AD381-1</f>
        <v>5.0000000000000044E-2</v>
      </c>
      <c r="AJ382" s="93">
        <f>AJ381/AE381-1</f>
        <v>5.0000000000000044E-2</v>
      </c>
      <c r="AK382" s="94">
        <f ca="1">IFERROR(AK381/(SUM(AB377:AE377)/SUM(AB380:AE380))-1,"n/a")</f>
        <v>5.0000000000000044E-2</v>
      </c>
      <c r="AL382" s="27">
        <v>0.05</v>
      </c>
      <c r="AM382" s="79">
        <f>AL382</f>
        <v>0.05</v>
      </c>
      <c r="AN382" s="79">
        <f t="shared" ref="AN382:AT382" si="648">AM382</f>
        <v>0.05</v>
      </c>
      <c r="AO382" s="79">
        <f t="shared" si="648"/>
        <v>0.05</v>
      </c>
      <c r="AP382" s="79">
        <f t="shared" si="648"/>
        <v>0.05</v>
      </c>
      <c r="AQ382" s="79">
        <f t="shared" si="648"/>
        <v>0.05</v>
      </c>
      <c r="AR382" s="79">
        <f t="shared" si="648"/>
        <v>0.05</v>
      </c>
      <c r="AS382" s="79">
        <f t="shared" si="648"/>
        <v>0.05</v>
      </c>
      <c r="AT382" s="79">
        <f t="shared" si="648"/>
        <v>0.05</v>
      </c>
      <c r="AU382" s="8" t="s">
        <v>29</v>
      </c>
    </row>
    <row r="383" spans="2:47" ht="7.95" customHeight="1" x14ac:dyDescent="0.3">
      <c r="G383" s="7"/>
      <c r="L383" s="7"/>
      <c r="Q383" s="7"/>
      <c r="V383" s="7"/>
      <c r="AA383" s="7"/>
      <c r="AF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8" t="s">
        <v>29</v>
      </c>
    </row>
    <row r="384" spans="2:47" ht="16.2" customHeight="1" x14ac:dyDescent="0.3">
      <c r="B384" s="20" t="s">
        <v>222</v>
      </c>
      <c r="D384" s="22">
        <f>D374-D377</f>
        <v>-0.89545847596395289</v>
      </c>
      <c r="E384" s="22">
        <f t="shared" ref="E384:AG384" si="649">E374-E377</f>
        <v>0.26200000000000001</v>
      </c>
      <c r="F384" s="22">
        <f t="shared" si="649"/>
        <v>6.3686245721081409</v>
      </c>
      <c r="G384" s="23">
        <f>SUM(C384:F384)</f>
        <v>5.7351660961441882</v>
      </c>
      <c r="H384" s="22">
        <f t="shared" ca="1" si="649"/>
        <v>0.121</v>
      </c>
      <c r="I384" s="22">
        <f t="shared" si="649"/>
        <v>2.5387686002378498</v>
      </c>
      <c r="J384" s="22">
        <f t="shared" si="649"/>
        <v>1.5947686002378496</v>
      </c>
      <c r="K384" s="22">
        <f t="shared" si="649"/>
        <v>3.6840000000000002</v>
      </c>
      <c r="L384" s="23">
        <f ca="1">SUM(H384:K384)</f>
        <v>7.9385372004756993</v>
      </c>
      <c r="M384" s="22">
        <f t="shared" ca="1" si="649"/>
        <v>3.5990000000000002</v>
      </c>
      <c r="N384" s="22">
        <f t="shared" si="649"/>
        <v>19.80875703024974</v>
      </c>
      <c r="O384" s="22">
        <f t="shared" si="649"/>
        <v>17.552</v>
      </c>
      <c r="P384" s="22">
        <f t="shared" si="649"/>
        <v>4.6705140604994835</v>
      </c>
      <c r="Q384" s="23">
        <f ca="1">SUM(M384:P384)</f>
        <v>45.630271090749225</v>
      </c>
      <c r="R384" s="22">
        <f t="shared" ca="1" si="649"/>
        <v>4.3410000000000002</v>
      </c>
      <c r="S384" s="22">
        <f t="shared" si="649"/>
        <v>5.2229999999999999</v>
      </c>
      <c r="T384" s="22">
        <f t="shared" si="649"/>
        <v>3.1183948817622289</v>
      </c>
      <c r="U384" s="22">
        <f t="shared" si="649"/>
        <v>5.3253948817622287</v>
      </c>
      <c r="V384" s="23">
        <f ca="1">SUM(R384:U384)</f>
        <v>18.007789763524457</v>
      </c>
      <c r="W384" s="22">
        <f t="shared" ca="1" si="649"/>
        <v>4.1201292517006802</v>
      </c>
      <c r="X384" s="22">
        <f t="shared" si="649"/>
        <v>5.2246938775510205</v>
      </c>
      <c r="Y384" s="22">
        <f t="shared" si="649"/>
        <v>8.3075646258503415</v>
      </c>
      <c r="Z384" s="22">
        <f t="shared" si="649"/>
        <v>9.9915646258503408</v>
      </c>
      <c r="AA384" s="23">
        <f ca="1">SUM(W384:Z384)</f>
        <v>27.643952380952381</v>
      </c>
      <c r="AB384" s="22">
        <f t="shared" ca="1" si="649"/>
        <v>6.1289999999999996</v>
      </c>
      <c r="AC384" s="22">
        <f t="shared" si="649"/>
        <v>5.055142857142858</v>
      </c>
      <c r="AD384" s="22">
        <f t="shared" si="649"/>
        <v>4.6451428571428579</v>
      </c>
      <c r="AE384" s="22">
        <f t="shared" si="649"/>
        <v>10.216142857142858</v>
      </c>
      <c r="AF384" s="23">
        <f ca="1">SUM(AB384:AE384)</f>
        <v>26.045428571428573</v>
      </c>
      <c r="AG384" s="22">
        <f t="shared" ca="1" si="649"/>
        <v>7.5570000000000004</v>
      </c>
      <c r="AH384" s="22">
        <f ca="1">AH385*AH$16</f>
        <v>7.8395269751565531</v>
      </c>
      <c r="AI384" s="22">
        <f t="shared" ref="AI384:AJ384" ca="1" si="650">AI385*AI$16</f>
        <v>8.2773442683886564</v>
      </c>
      <c r="AJ384" s="22">
        <f t="shared" ca="1" si="650"/>
        <v>11.055770579465449</v>
      </c>
      <c r="AK384" s="23">
        <f ca="1">SUM(AG384:AJ384)</f>
        <v>34.72964182301066</v>
      </c>
      <c r="AL384" s="23">
        <f t="shared" ref="AL384:AT384" ca="1" si="651">AL385*AL16</f>
        <v>39.628925212318741</v>
      </c>
      <c r="AM384" s="23">
        <f t="shared" ca="1" si="651"/>
        <v>45.072723406227823</v>
      </c>
      <c r="AN384" s="23">
        <f t="shared" ca="1" si="651"/>
        <v>50.935810221606168</v>
      </c>
      <c r="AO384" s="23">
        <f t="shared" ca="1" si="651"/>
        <v>57.244993070236212</v>
      </c>
      <c r="AP384" s="23">
        <f t="shared" ca="1" si="651"/>
        <v>64.028638964456078</v>
      </c>
      <c r="AQ384" s="23">
        <f t="shared" ca="1" si="651"/>
        <v>71.316760376767832</v>
      </c>
      <c r="AR384" s="23">
        <f t="shared" ca="1" si="651"/>
        <v>79.141105675912698</v>
      </c>
      <c r="AS384" s="23">
        <f t="shared" ca="1" si="651"/>
        <v>87.53525437976451</v>
      </c>
      <c r="AT384" s="23">
        <f t="shared" ca="1" si="651"/>
        <v>96.534717478042708</v>
      </c>
      <c r="AU384" s="8" t="s">
        <v>29</v>
      </c>
    </row>
    <row r="385" spans="1:47" ht="16.2" customHeight="1" x14ac:dyDescent="0.3">
      <c r="B385" s="24" t="s">
        <v>43</v>
      </c>
      <c r="D385" s="21">
        <f t="shared" ref="D385:F385" si="652">D384/D$16</f>
        <v>-3.8213565312335294E-2</v>
      </c>
      <c r="E385" s="21">
        <f t="shared" si="652"/>
        <v>3.9536427838474074E-3</v>
      </c>
      <c r="F385" s="21">
        <f t="shared" si="652"/>
        <v>5.2423338051071681E-2</v>
      </c>
      <c r="G385" s="14">
        <f>G384/G16</f>
        <v>2.14543475408576E-2</v>
      </c>
      <c r="H385" s="21">
        <f t="shared" ref="H385:K385" ca="1" si="653">H384/H$16</f>
        <v>1.8991414624958799E-3</v>
      </c>
      <c r="I385" s="21">
        <f t="shared" si="653"/>
        <v>2.688262900113142E-2</v>
      </c>
      <c r="J385" s="21">
        <f t="shared" si="653"/>
        <v>1.2780538924778964E-2</v>
      </c>
      <c r="K385" s="21">
        <f t="shared" si="653"/>
        <v>2.4291364891998724E-2</v>
      </c>
      <c r="L385" s="14">
        <f ca="1">L384/L16</f>
        <v>1.8266650198230171E-2</v>
      </c>
      <c r="M385" s="21">
        <f t="shared" ref="M385:P385" ca="1" si="654">M384/M$16</f>
        <v>3.1984287796381218E-2</v>
      </c>
      <c r="N385" s="21">
        <f t="shared" si="654"/>
        <v>0.15070225900390086</v>
      </c>
      <c r="O385" s="21">
        <f t="shared" si="654"/>
        <v>0.12705306666087574</v>
      </c>
      <c r="P385" s="21">
        <f t="shared" si="654"/>
        <v>2.5203516558557907E-2</v>
      </c>
      <c r="Q385" s="14">
        <f ca="1">Q384/Q16</f>
        <v>8.0416250032161407E-2</v>
      </c>
      <c r="R385" s="21">
        <f t="shared" ref="R385:U385" ca="1" si="655">R384/R$16</f>
        <v>3.0637306796527632E-2</v>
      </c>
      <c r="S385" s="21">
        <f t="shared" si="655"/>
        <v>3.3529045080637532E-2</v>
      </c>
      <c r="T385" s="21">
        <f t="shared" si="655"/>
        <v>1.8982457210001514E-2</v>
      </c>
      <c r="U385" s="21">
        <f t="shared" si="655"/>
        <v>2.399399352891559E-2</v>
      </c>
      <c r="V385" s="14">
        <f ca="1">V384/V16</f>
        <v>2.6339110996909658E-2</v>
      </c>
      <c r="W385" s="21">
        <f t="shared" ref="W385:Z385" ca="1" si="656">W384/W$16</f>
        <v>2.5412347124860023E-2</v>
      </c>
      <c r="X385" s="21">
        <f t="shared" si="656"/>
        <v>2.7211663824080062E-2</v>
      </c>
      <c r="Y385" s="21">
        <f t="shared" si="656"/>
        <v>4.0656591508309109E-2</v>
      </c>
      <c r="Z385" s="21">
        <f t="shared" si="656"/>
        <v>3.6560167096063689E-2</v>
      </c>
      <c r="AA385" s="14">
        <f ca="1">AA384/AA16</f>
        <v>3.3235531423107388E-2</v>
      </c>
      <c r="AB385" s="21">
        <f t="shared" ref="AB385:AE385" ca="1" si="657">AB384/AB$16</f>
        <v>2.8803586702132657E-2</v>
      </c>
      <c r="AC385" s="21">
        <f t="shared" si="657"/>
        <v>2.0881168061360637E-2</v>
      </c>
      <c r="AD385" s="21">
        <f t="shared" si="657"/>
        <v>1.729847747223897E-2</v>
      </c>
      <c r="AE385" s="21">
        <f t="shared" si="657"/>
        <v>3.1618548888423172E-2</v>
      </c>
      <c r="AF385" s="14">
        <f ca="1">AF384/AF16</f>
        <v>2.4887845119242372E-2</v>
      </c>
      <c r="AG385" s="21">
        <f t="shared" ref="AG385" ca="1" si="658">AG384/AG$16</f>
        <v>3.0088629468302826E-2</v>
      </c>
      <c r="AH385" s="26">
        <f ca="1">AG385</f>
        <v>3.0088629468302826E-2</v>
      </c>
      <c r="AI385" s="65">
        <f ca="1">AH385</f>
        <v>3.0088629468302826E-2</v>
      </c>
      <c r="AJ385" s="65">
        <f t="shared" ref="AJ385" ca="1" si="659">AI385</f>
        <v>3.0088629468302826E-2</v>
      </c>
      <c r="AK385" s="66">
        <f ca="1">AK384/AK16</f>
        <v>3.0088629468302822E-2</v>
      </c>
      <c r="AL385" s="66">
        <f ca="1">AK385</f>
        <v>3.0088629468302822E-2</v>
      </c>
      <c r="AM385" s="66">
        <f ca="1">AL385</f>
        <v>3.0088629468302822E-2</v>
      </c>
      <c r="AN385" s="66">
        <f t="shared" ref="AN385:AT385" ca="1" si="660">AM385</f>
        <v>3.0088629468302822E-2</v>
      </c>
      <c r="AO385" s="66">
        <f t="shared" ca="1" si="660"/>
        <v>3.0088629468302822E-2</v>
      </c>
      <c r="AP385" s="66">
        <f t="shared" ca="1" si="660"/>
        <v>3.0088629468302822E-2</v>
      </c>
      <c r="AQ385" s="66">
        <f t="shared" ca="1" si="660"/>
        <v>3.0088629468302822E-2</v>
      </c>
      <c r="AR385" s="66">
        <f t="shared" ca="1" si="660"/>
        <v>3.0088629468302822E-2</v>
      </c>
      <c r="AS385" s="66">
        <f t="shared" ca="1" si="660"/>
        <v>3.0088629468302822E-2</v>
      </c>
      <c r="AT385" s="66">
        <f t="shared" ca="1" si="660"/>
        <v>3.0088629468302822E-2</v>
      </c>
      <c r="AU385" s="8" t="s">
        <v>29</v>
      </c>
    </row>
    <row r="386" spans="1:47" ht="7.95" customHeight="1" x14ac:dyDescent="0.3">
      <c r="G386" s="7"/>
      <c r="L386" s="7"/>
      <c r="Q386" s="7"/>
      <c r="V386" s="7"/>
      <c r="AA386" s="7"/>
      <c r="AF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8" t="s">
        <v>29</v>
      </c>
    </row>
    <row r="387" spans="1:47" ht="16.2" customHeight="1" x14ac:dyDescent="0.3">
      <c r="B387" s="24" t="s">
        <v>223</v>
      </c>
      <c r="D387" s="22">
        <f>D424</f>
        <v>-0.62</v>
      </c>
      <c r="E387" s="22">
        <f t="shared" ref="E387:AJ387" si="661">E424</f>
        <v>-0.496</v>
      </c>
      <c r="F387" s="22">
        <f t="shared" si="661"/>
        <v>-8.7620000000000005</v>
      </c>
      <c r="G387" s="23">
        <f>SUM(C387:F387)</f>
        <v>-9.8780000000000001</v>
      </c>
      <c r="H387" s="22">
        <f t="shared" si="661"/>
        <v>1.22</v>
      </c>
      <c r="I387" s="22">
        <f t="shared" si="661"/>
        <v>3.6419999999999999</v>
      </c>
      <c r="J387" s="22">
        <f t="shared" si="661"/>
        <v>-1.7629999999999999</v>
      </c>
      <c r="K387" s="22">
        <f t="shared" si="661"/>
        <v>-1.5249999999999999</v>
      </c>
      <c r="L387" s="23">
        <f>SUM(H387:K387)</f>
        <v>1.5740000000000003</v>
      </c>
      <c r="M387" s="22">
        <f t="shared" si="661"/>
        <v>-0.875</v>
      </c>
      <c r="N387" s="22">
        <f t="shared" si="661"/>
        <v>-10.831</v>
      </c>
      <c r="O387" s="22">
        <f t="shared" si="661"/>
        <v>-10.581</v>
      </c>
      <c r="P387" s="22">
        <f t="shared" si="661"/>
        <v>-1.4510000000000001</v>
      </c>
      <c r="Q387" s="23">
        <f>SUM(M387:P387)</f>
        <v>-23.738</v>
      </c>
      <c r="R387" s="22">
        <f t="shared" si="661"/>
        <v>-1.6910000000000001</v>
      </c>
      <c r="S387" s="22">
        <f t="shared" si="661"/>
        <v>-1.8160000000000001</v>
      </c>
      <c r="T387" s="22">
        <f t="shared" si="661"/>
        <v>-1.8520000000000001</v>
      </c>
      <c r="U387" s="22">
        <f t="shared" si="661"/>
        <v>-1.99</v>
      </c>
      <c r="V387" s="23">
        <f>SUM(R387:U387)</f>
        <v>-7.3490000000000002</v>
      </c>
      <c r="W387" s="22">
        <f t="shared" si="661"/>
        <v>-2.3220000000000001</v>
      </c>
      <c r="X387" s="22">
        <f t="shared" si="661"/>
        <v>-2.5249999999999999</v>
      </c>
      <c r="Y387" s="22">
        <f t="shared" si="661"/>
        <v>-2.8490000000000002</v>
      </c>
      <c r="Z387" s="22">
        <f t="shared" si="661"/>
        <v>-3.278</v>
      </c>
      <c r="AA387" s="23">
        <f>SUM(W387:Z387)</f>
        <v>-10.974</v>
      </c>
      <c r="AB387" s="22">
        <f t="shared" si="661"/>
        <v>-2.5190000000000001</v>
      </c>
      <c r="AC387" s="22">
        <f t="shared" si="661"/>
        <v>-2.92</v>
      </c>
      <c r="AD387" s="22">
        <f t="shared" si="661"/>
        <v>-3.0880000000000001</v>
      </c>
      <c r="AE387" s="22">
        <f t="shared" si="661"/>
        <v>-3.3959999999999999</v>
      </c>
      <c r="AF387" s="23">
        <f>SUM(AB387:AE387)</f>
        <v>-11.923000000000002</v>
      </c>
      <c r="AG387" s="22">
        <f t="shared" si="661"/>
        <v>-3.7250000000000001</v>
      </c>
      <c r="AH387" s="22">
        <f t="shared" si="661"/>
        <v>-3.8767691208005717</v>
      </c>
      <c r="AI387" s="22">
        <f t="shared" ca="1" si="661"/>
        <v>-4.1296285513903959</v>
      </c>
      <c r="AJ387" s="22">
        <f t="shared" ca="1" si="661"/>
        <v>-4.3898383072481888</v>
      </c>
      <c r="AK387" s="23">
        <f ca="1">SUM(AG387:AJ387)</f>
        <v>-16.121235979439156</v>
      </c>
      <c r="AL387" s="23">
        <f ca="1">AL424</f>
        <v>-20.557814610120133</v>
      </c>
      <c r="AM387" s="23">
        <f ca="1">AM424</f>
        <v>-25.138126969828964</v>
      </c>
      <c r="AN387" s="23">
        <f t="shared" ref="AN387:AT387" ca="1" si="662">AN424</f>
        <v>-29.931963767017375</v>
      </c>
      <c r="AO387" s="23">
        <f t="shared" ca="1" si="662"/>
        <v>-34.97796522792612</v>
      </c>
      <c r="AP387" s="23">
        <f t="shared" ca="1" si="662"/>
        <v>-40.312898972284053</v>
      </c>
      <c r="AQ387" s="23">
        <f t="shared" ca="1" si="662"/>
        <v>-45.972258448741329</v>
      </c>
      <c r="AR387" s="23">
        <f t="shared" ca="1" si="662"/>
        <v>-51.990773618183312</v>
      </c>
      <c r="AS387" s="23">
        <f t="shared" ca="1" si="662"/>
        <v>-58.402849784930766</v>
      </c>
      <c r="AT387" s="23">
        <f t="shared" ca="1" si="662"/>
        <v>-65.242947783527967</v>
      </c>
      <c r="AU387" s="8" t="s">
        <v>29</v>
      </c>
    </row>
    <row r="388" spans="1:47" ht="16.2" customHeight="1" x14ac:dyDescent="0.3">
      <c r="B388" s="86" t="s">
        <v>198</v>
      </c>
      <c r="D388" s="21">
        <f t="shared" ref="D388:F388" si="663">D387/D$16</f>
        <v>-2.6458413348696284E-2</v>
      </c>
      <c r="E388" s="21">
        <f t="shared" si="663"/>
        <v>-7.4847588579706643E-3</v>
      </c>
      <c r="F388" s="21">
        <f t="shared" si="663"/>
        <v>-7.2124409721868982E-2</v>
      </c>
      <c r="G388" s="14">
        <f>G387/G16</f>
        <v>-3.6952032679763443E-2</v>
      </c>
      <c r="H388" s="21">
        <f t="shared" ref="H388:K388" si="664">H387/H$16</f>
        <v>1.9148368464834493E-2</v>
      </c>
      <c r="I388" s="21">
        <f t="shared" si="664"/>
        <v>3.8564576075562004E-2</v>
      </c>
      <c r="J388" s="21">
        <f t="shared" si="664"/>
        <v>-1.41287520465507E-2</v>
      </c>
      <c r="K388" s="21">
        <f t="shared" si="664"/>
        <v>-1.0055464565770372E-2</v>
      </c>
      <c r="L388" s="14">
        <f>L387/L16</f>
        <v>3.6217890885856668E-3</v>
      </c>
      <c r="M388" s="21">
        <f t="shared" ref="M388:P388" si="665">M387/M$16</f>
        <v>-7.7761188724183288E-3</v>
      </c>
      <c r="N388" s="21">
        <f t="shared" si="665"/>
        <v>-8.2400736440890715E-2</v>
      </c>
      <c r="O388" s="21">
        <f t="shared" si="665"/>
        <v>-7.6592325566244651E-2</v>
      </c>
      <c r="P388" s="21">
        <f t="shared" si="665"/>
        <v>-7.8300379899844588E-3</v>
      </c>
      <c r="Q388" s="14">
        <f>Q387/Q16</f>
        <v>-4.1834529965140824E-2</v>
      </c>
      <c r="R388" s="21">
        <f t="shared" ref="R388:U388" si="666">R387/R$16</f>
        <v>-1.1934504905074458E-2</v>
      </c>
      <c r="S388" s="21">
        <f t="shared" si="666"/>
        <v>-1.165781081111196E-2</v>
      </c>
      <c r="T388" s="21">
        <f t="shared" si="666"/>
        <v>-1.1273591730966462E-2</v>
      </c>
      <c r="U388" s="21">
        <f t="shared" si="666"/>
        <v>-8.9661045204485756E-3</v>
      </c>
      <c r="V388" s="14">
        <f>V387/V16</f>
        <v>-1.074902190986067E-2</v>
      </c>
      <c r="W388" s="21">
        <f t="shared" ref="W388:Z388" si="667">W387/W$16</f>
        <v>-1.4321752163374063E-2</v>
      </c>
      <c r="X388" s="21">
        <f t="shared" si="667"/>
        <v>-1.3150904678076268E-2</v>
      </c>
      <c r="Y388" s="21">
        <f t="shared" si="667"/>
        <v>-1.3942790026182495E-2</v>
      </c>
      <c r="Z388" s="21">
        <f t="shared" si="667"/>
        <v>-1.1994540617876184E-2</v>
      </c>
      <c r="AA388" s="14">
        <f>AA387/AA16</f>
        <v>-1.3193725586377785E-2</v>
      </c>
      <c r="AB388" s="21">
        <f t="shared" ref="AB388:AE388" si="668">AB387/AB$16</f>
        <v>-1.1838184842987791E-2</v>
      </c>
      <c r="AC388" s="21">
        <f t="shared" si="668"/>
        <v>-1.2061580149613161E-2</v>
      </c>
      <c r="AD388" s="21">
        <f t="shared" si="668"/>
        <v>-1.1499689046620663E-2</v>
      </c>
      <c r="AE388" s="21">
        <f t="shared" si="668"/>
        <v>-1.0510482627992052E-2</v>
      </c>
      <c r="AF388" s="14">
        <f>AF387/AF16</f>
        <v>-1.1393084838014282E-2</v>
      </c>
      <c r="AG388" s="21">
        <f t="shared" ref="AG388:AJ388" si="669">AG387/AG$16</f>
        <v>-1.4831301411860265E-2</v>
      </c>
      <c r="AH388" s="21">
        <f t="shared" si="669"/>
        <v>-1.4879299475539736E-2</v>
      </c>
      <c r="AI388" s="21">
        <f t="shared" ca="1" si="669"/>
        <v>-1.501144078288994E-2</v>
      </c>
      <c r="AJ388" s="21">
        <f t="shared" ca="1" si="669"/>
        <v>-1.1947083860249456E-2</v>
      </c>
      <c r="AK388" s="14">
        <f t="shared" ref="AK388:AT388" ca="1" si="670">AK387/AK16</f>
        <v>-1.3966913290623943E-2</v>
      </c>
      <c r="AL388" s="14">
        <f t="shared" ca="1" si="670"/>
        <v>-1.5608711646050074E-2</v>
      </c>
      <c r="AM388" s="14">
        <f t="shared" ca="1" si="670"/>
        <v>-1.6781142357548861E-2</v>
      </c>
      <c r="AN388" s="14">
        <f t="shared" ca="1" si="670"/>
        <v>-1.7681308359014304E-2</v>
      </c>
      <c r="AO388" s="14">
        <f t="shared" ca="1" si="670"/>
        <v>-1.8384822477084922E-2</v>
      </c>
      <c r="AP388" s="14">
        <f t="shared" ca="1" si="670"/>
        <v>-1.8944020981666115E-2</v>
      </c>
      <c r="AQ388" s="14">
        <f t="shared" ca="1" si="670"/>
        <v>-1.939575273719019E-2</v>
      </c>
      <c r="AR388" s="14">
        <f t="shared" ca="1" si="670"/>
        <v>-1.976635415701615E-2</v>
      </c>
      <c r="AS388" s="14">
        <f t="shared" ca="1" si="670"/>
        <v>-2.0074902615213698E-2</v>
      </c>
      <c r="AT388" s="14">
        <f t="shared" ca="1" si="670"/>
        <v>-2.0335387439497213E-2</v>
      </c>
      <c r="AU388" s="8" t="s">
        <v>29</v>
      </c>
    </row>
    <row r="389" spans="1:47" ht="16.2" customHeight="1" x14ac:dyDescent="0.3">
      <c r="B389" s="24" t="s">
        <v>224</v>
      </c>
      <c r="D389" s="22">
        <f>D384+D387</f>
        <v>-1.5154584759639529</v>
      </c>
      <c r="E389" s="22">
        <f t="shared" ref="E389:AJ389" si="671">E384+E387</f>
        <v>-0.23399999999999999</v>
      </c>
      <c r="F389" s="22">
        <f t="shared" si="671"/>
        <v>-2.3933754278918595</v>
      </c>
      <c r="G389" s="23">
        <f>SUM(C389:F389)</f>
        <v>-4.1428339038558128</v>
      </c>
      <c r="H389" s="22">
        <f t="shared" ca="1" si="671"/>
        <v>1.341</v>
      </c>
      <c r="I389" s="22">
        <f t="shared" si="671"/>
        <v>6.1807686002378492</v>
      </c>
      <c r="J389" s="22">
        <f t="shared" si="671"/>
        <v>-0.16823139976215029</v>
      </c>
      <c r="K389" s="22">
        <f t="shared" si="671"/>
        <v>2.1590000000000003</v>
      </c>
      <c r="L389" s="23">
        <f ca="1">SUM(H389:K389)</f>
        <v>9.5125372004757001</v>
      </c>
      <c r="M389" s="22">
        <f t="shared" ca="1" si="671"/>
        <v>2.7240000000000002</v>
      </c>
      <c r="N389" s="22">
        <f t="shared" si="671"/>
        <v>8.9777570302497409</v>
      </c>
      <c r="O389" s="22">
        <f t="shared" si="671"/>
        <v>6.9710000000000001</v>
      </c>
      <c r="P389" s="22">
        <f t="shared" si="671"/>
        <v>3.2195140604994834</v>
      </c>
      <c r="Q389" s="23">
        <f ca="1">SUM(M389:P389)</f>
        <v>21.892271090749226</v>
      </c>
      <c r="R389" s="22">
        <f t="shared" ca="1" si="671"/>
        <v>2.6500000000000004</v>
      </c>
      <c r="S389" s="22">
        <f t="shared" si="671"/>
        <v>3.407</v>
      </c>
      <c r="T389" s="22">
        <f t="shared" si="671"/>
        <v>1.2663948817622288</v>
      </c>
      <c r="U389" s="22">
        <f t="shared" si="671"/>
        <v>3.3353948817622285</v>
      </c>
      <c r="V389" s="23">
        <f ca="1">SUM(R389:U389)</f>
        <v>10.658789763524457</v>
      </c>
      <c r="W389" s="22">
        <f t="shared" ca="1" si="671"/>
        <v>1.7981292517006802</v>
      </c>
      <c r="X389" s="22">
        <f t="shared" si="671"/>
        <v>2.6996938775510206</v>
      </c>
      <c r="Y389" s="22">
        <f t="shared" si="671"/>
        <v>5.4585646258503413</v>
      </c>
      <c r="Z389" s="22">
        <f t="shared" si="671"/>
        <v>6.7135646258503403</v>
      </c>
      <c r="AA389" s="23">
        <f ca="1">SUM(W389:Z389)</f>
        <v>16.669952380952381</v>
      </c>
      <c r="AB389" s="22">
        <f t="shared" ca="1" si="671"/>
        <v>3.6099999999999994</v>
      </c>
      <c r="AC389" s="22">
        <f t="shared" si="671"/>
        <v>2.1351428571428581</v>
      </c>
      <c r="AD389" s="22">
        <f t="shared" si="671"/>
        <v>1.5571428571428578</v>
      </c>
      <c r="AE389" s="22">
        <f t="shared" si="671"/>
        <v>6.8201428571428577</v>
      </c>
      <c r="AF389" s="23">
        <f ca="1">SUM(AB389:AE389)</f>
        <v>14.122428571428573</v>
      </c>
      <c r="AG389" s="22">
        <f t="shared" ca="1" si="671"/>
        <v>3.8320000000000003</v>
      </c>
      <c r="AH389" s="22">
        <f t="shared" ca="1" si="671"/>
        <v>3.9627578543559814</v>
      </c>
      <c r="AI389" s="22">
        <f t="shared" ca="1" si="671"/>
        <v>4.1477157169982606</v>
      </c>
      <c r="AJ389" s="22">
        <f t="shared" ca="1" si="671"/>
        <v>6.66593227221726</v>
      </c>
      <c r="AK389" s="23">
        <f ca="1">SUM(AG389:AJ389)</f>
        <v>18.608405843571504</v>
      </c>
      <c r="AL389" s="23">
        <f ca="1">AL384+AL387</f>
        <v>19.071110602198608</v>
      </c>
      <c r="AM389" s="23">
        <f ca="1">AM384+AM387</f>
        <v>19.934596436398859</v>
      </c>
      <c r="AN389" s="23">
        <f t="shared" ref="AN389:AT389" ca="1" si="672">AN384+AN387</f>
        <v>21.003846454588793</v>
      </c>
      <c r="AO389" s="23">
        <f t="shared" ca="1" si="672"/>
        <v>22.267027842310092</v>
      </c>
      <c r="AP389" s="23">
        <f t="shared" ca="1" si="672"/>
        <v>23.715739992172026</v>
      </c>
      <c r="AQ389" s="23">
        <f t="shared" ca="1" si="672"/>
        <v>25.344501928026503</v>
      </c>
      <c r="AR389" s="23">
        <f t="shared" ca="1" si="672"/>
        <v>27.150332057729386</v>
      </c>
      <c r="AS389" s="23">
        <f t="shared" ca="1" si="672"/>
        <v>29.132404594833744</v>
      </c>
      <c r="AT389" s="23">
        <f t="shared" ca="1" si="672"/>
        <v>31.291769694514741</v>
      </c>
      <c r="AU389" s="8" t="s">
        <v>29</v>
      </c>
    </row>
    <row r="390" spans="1:47" ht="7.95" customHeight="1" x14ac:dyDescent="0.3">
      <c r="B390" s="24"/>
      <c r="G390" s="7"/>
      <c r="L390" s="7"/>
      <c r="Q390" s="7"/>
      <c r="V390" s="7"/>
      <c r="AA390" s="7"/>
      <c r="AF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8" t="s">
        <v>29</v>
      </c>
    </row>
    <row r="391" spans="1:47" ht="16.2" customHeight="1" x14ac:dyDescent="0.3">
      <c r="B391" s="5" t="s">
        <v>225</v>
      </c>
      <c r="C391" s="28">
        <f t="shared" ref="C391:AG391" si="673">C448</f>
        <v>4.8000000000000001E-2</v>
      </c>
      <c r="D391" s="28">
        <f t="shared" si="673"/>
        <v>2.8000000000000001E-2</v>
      </c>
      <c r="E391" s="28">
        <f t="shared" si="673"/>
        <v>3.2000000000000001E-2</v>
      </c>
      <c r="F391" s="28">
        <f t="shared" si="673"/>
        <v>0.14799999999999999</v>
      </c>
      <c r="G391" s="29">
        <f>SUM(C391:F391)</f>
        <v>0.25600000000000001</v>
      </c>
      <c r="H391" s="28">
        <f t="shared" si="673"/>
        <v>0.42499999999999999</v>
      </c>
      <c r="I391" s="28">
        <f t="shared" si="673"/>
        <v>0.79100000000000004</v>
      </c>
      <c r="J391" s="28">
        <f t="shared" si="673"/>
        <v>1.3069999999999999</v>
      </c>
      <c r="K391" s="28">
        <f t="shared" si="673"/>
        <v>1.3180000000000001</v>
      </c>
      <c r="L391" s="29">
        <f>SUM(H391:K391)</f>
        <v>3.8409999999999997</v>
      </c>
      <c r="M391" s="28">
        <f t="shared" si="673"/>
        <v>1.3420000000000001</v>
      </c>
      <c r="N391" s="28">
        <f t="shared" si="673"/>
        <v>1.3380000000000001</v>
      </c>
      <c r="O391" s="28">
        <f t="shared" si="673"/>
        <v>3.0219999999999998</v>
      </c>
      <c r="P391" s="28">
        <f t="shared" si="673"/>
        <v>2.2469999999999999</v>
      </c>
      <c r="Q391" s="29">
        <f>SUM(M391:P391)</f>
        <v>7.9489999999999998</v>
      </c>
      <c r="R391" s="28">
        <f t="shared" si="673"/>
        <v>2.9</v>
      </c>
      <c r="S391" s="28">
        <f t="shared" si="673"/>
        <v>2.5299999999999998</v>
      </c>
      <c r="T391" s="28">
        <f t="shared" si="673"/>
        <v>6.2270000000000003</v>
      </c>
      <c r="U391" s="28">
        <f t="shared" si="673"/>
        <v>1.9750000000000001</v>
      </c>
      <c r="V391" s="29">
        <f>SUM(R391:U391)</f>
        <v>13.632</v>
      </c>
      <c r="W391" s="28">
        <f t="shared" si="673"/>
        <v>5.008</v>
      </c>
      <c r="X391" s="28">
        <f t="shared" si="673"/>
        <v>1.468</v>
      </c>
      <c r="Y391" s="28">
        <f t="shared" si="673"/>
        <v>2.919</v>
      </c>
      <c r="Z391" s="28">
        <f t="shared" si="673"/>
        <v>0.52300000000000002</v>
      </c>
      <c r="AA391" s="29">
        <f>SUM(W391:Z391)</f>
        <v>9.9179999999999993</v>
      </c>
      <c r="AB391" s="28">
        <f t="shared" si="673"/>
        <v>2.7949999999999999</v>
      </c>
      <c r="AC391" s="28">
        <f t="shared" si="673"/>
        <v>5.5839999999999996</v>
      </c>
      <c r="AD391" s="28">
        <f t="shared" si="673"/>
        <v>4.0419999999999998</v>
      </c>
      <c r="AE391" s="28">
        <f t="shared" si="673"/>
        <v>4.2119999999999997</v>
      </c>
      <c r="AF391" s="29">
        <f>SUM(AB391:AE391)</f>
        <v>16.632999999999999</v>
      </c>
      <c r="AG391" s="28">
        <f t="shared" si="673"/>
        <v>3.97</v>
      </c>
      <c r="AH391" s="28">
        <f>AH392*AH$16</f>
        <v>2.6054782533100029</v>
      </c>
      <c r="AI391" s="28">
        <f t="shared" ref="AI391:AJ391" si="674">AI392*AI$16</f>
        <v>2.7509874709010957</v>
      </c>
      <c r="AJ391" s="28">
        <f t="shared" si="674"/>
        <v>3.67440151805926</v>
      </c>
      <c r="AK391" s="29">
        <f>SUM(AG391:AJ391)</f>
        <v>13.00086724227036</v>
      </c>
      <c r="AL391" s="29">
        <f t="shared" ref="AL391:AT391" si="675">AL392*AL16</f>
        <v>14.834889408443484</v>
      </c>
      <c r="AM391" s="29">
        <f t="shared" si="675"/>
        <v>16.87274796089854</v>
      </c>
      <c r="AN391" s="29">
        <f t="shared" si="675"/>
        <v>19.067565106007574</v>
      </c>
      <c r="AO391" s="29">
        <f t="shared" si="675"/>
        <v>21.429376063928295</v>
      </c>
      <c r="AP391" s="29">
        <f t="shared" si="675"/>
        <v>23.968799883464815</v>
      </c>
      <c r="AQ391" s="29">
        <f t="shared" si="675"/>
        <v>26.697071583181387</v>
      </c>
      <c r="AR391" s="29">
        <f t="shared" si="675"/>
        <v>29.626076005693633</v>
      </c>
      <c r="AS391" s="29">
        <f t="shared" si="675"/>
        <v>32.768383475111492</v>
      </c>
      <c r="AT391" s="29">
        <f t="shared" si="675"/>
        <v>36.137287352343684</v>
      </c>
      <c r="AU391" s="8" t="s">
        <v>29</v>
      </c>
    </row>
    <row r="392" spans="1:47" ht="16.2" customHeight="1" x14ac:dyDescent="0.3">
      <c r="B392" s="20" t="s">
        <v>43</v>
      </c>
      <c r="C392" s="21">
        <f>C391/C$16</f>
        <v>8.5509673281790007E-4</v>
      </c>
      <c r="D392" s="21">
        <f t="shared" ref="D392:F392" si="676">D391/D$16</f>
        <v>1.1948960867153161E-3</v>
      </c>
      <c r="E392" s="21">
        <f t="shared" si="676"/>
        <v>4.828876682561719E-4</v>
      </c>
      <c r="F392" s="21">
        <f t="shared" si="676"/>
        <v>1.2182621135399007E-3</v>
      </c>
      <c r="G392" s="14">
        <f>G391/G16</f>
        <v>9.576554328831182E-4</v>
      </c>
      <c r="H392" s="21">
        <f t="shared" ref="H392:K392" si="677">H391/H$16</f>
        <v>6.6705381947169337E-3</v>
      </c>
      <c r="I392" s="21">
        <f t="shared" si="677"/>
        <v>8.3757769565539677E-3</v>
      </c>
      <c r="J392" s="21">
        <f t="shared" si="677"/>
        <v>1.0474349929008375E-2</v>
      </c>
      <c r="K392" s="21">
        <f t="shared" si="677"/>
        <v>8.6905588837281004E-3</v>
      </c>
      <c r="L392" s="14">
        <f>L391/L16</f>
        <v>8.8381778203669263E-3</v>
      </c>
      <c r="M392" s="21">
        <f t="shared" ref="M392:P392" si="678">M391/M$16</f>
        <v>1.1926344602040454E-2</v>
      </c>
      <c r="N392" s="21">
        <f t="shared" si="678"/>
        <v>1.0179317270603987E-2</v>
      </c>
      <c r="O392" s="21">
        <f t="shared" si="678"/>
        <v>2.1875248829145766E-2</v>
      </c>
      <c r="P392" s="21">
        <f t="shared" si="678"/>
        <v>1.2125496460024174E-2</v>
      </c>
      <c r="Q392" s="14">
        <f>Q391/Q16</f>
        <v>1.4008875166100953E-2</v>
      </c>
      <c r="R392" s="21">
        <f t="shared" ref="R392:U392" si="679">R391/R$16</f>
        <v>2.0467217164231773E-2</v>
      </c>
      <c r="S392" s="21">
        <f t="shared" si="679"/>
        <v>1.62413333436747E-2</v>
      </c>
      <c r="T392" s="21">
        <f t="shared" si="679"/>
        <v>3.7905321656980649E-2</v>
      </c>
      <c r="U392" s="21">
        <f t="shared" si="679"/>
        <v>8.8985208180331343E-3</v>
      </c>
      <c r="V392" s="14">
        <f>V391/V16</f>
        <v>1.9938857895662083E-2</v>
      </c>
      <c r="W392" s="21">
        <f t="shared" ref="W392:Z392" si="680">W391/W$16</f>
        <v>3.0888602426432946E-2</v>
      </c>
      <c r="X392" s="21">
        <f t="shared" si="680"/>
        <v>7.6457536900657276E-3</v>
      </c>
      <c r="Y392" s="21">
        <f t="shared" si="680"/>
        <v>1.4285364719700492E-2</v>
      </c>
      <c r="Z392" s="21">
        <f t="shared" si="680"/>
        <v>1.9137110259759744E-3</v>
      </c>
      <c r="AA392" s="14">
        <f>AA391/AA16</f>
        <v>1.1924127060843344E-2</v>
      </c>
      <c r="AB392" s="21">
        <f t="shared" ref="AB392:AE392" si="681">AB391/AB$16</f>
        <v>1.3135262658257593E-2</v>
      </c>
      <c r="AC392" s="21">
        <f t="shared" si="681"/>
        <v>2.3065706697068457E-2</v>
      </c>
      <c r="AD392" s="21">
        <f t="shared" si="681"/>
        <v>1.50523779554536E-2</v>
      </c>
      <c r="AE392" s="21">
        <f t="shared" si="681"/>
        <v>1.3035969619877068E-2</v>
      </c>
      <c r="AF392" s="14">
        <f>AF391/AF16</f>
        <v>1.589374990444448E-2</v>
      </c>
      <c r="AG392" s="21">
        <f t="shared" ref="AG392" si="682">AG391/AG$16</f>
        <v>1.5806782981230939E-2</v>
      </c>
      <c r="AH392" s="26">
        <v>0.01</v>
      </c>
      <c r="AI392" s="65">
        <f>AH392</f>
        <v>0.01</v>
      </c>
      <c r="AJ392" s="65">
        <f t="shared" ref="AJ392" si="683">AI392</f>
        <v>0.01</v>
      </c>
      <c r="AK392" s="66">
        <f>AK391/AK16</f>
        <v>1.1263527542633267E-2</v>
      </c>
      <c r="AL392" s="66">
        <f>AK392</f>
        <v>1.1263527542633267E-2</v>
      </c>
      <c r="AM392" s="66">
        <f>AL392</f>
        <v>1.1263527542633267E-2</v>
      </c>
      <c r="AN392" s="66">
        <f t="shared" ref="AN392:AT392" si="684">AM392</f>
        <v>1.1263527542633267E-2</v>
      </c>
      <c r="AO392" s="66">
        <f t="shared" si="684"/>
        <v>1.1263527542633267E-2</v>
      </c>
      <c r="AP392" s="66">
        <f t="shared" si="684"/>
        <v>1.1263527542633267E-2</v>
      </c>
      <c r="AQ392" s="66">
        <f t="shared" si="684"/>
        <v>1.1263527542633267E-2</v>
      </c>
      <c r="AR392" s="66">
        <f t="shared" si="684"/>
        <v>1.1263527542633267E-2</v>
      </c>
      <c r="AS392" s="66">
        <f t="shared" si="684"/>
        <v>1.1263527542633267E-2</v>
      </c>
      <c r="AT392" s="66">
        <f t="shared" si="684"/>
        <v>1.1263527542633267E-2</v>
      </c>
      <c r="AU392" s="8" t="s">
        <v>29</v>
      </c>
    </row>
    <row r="393" spans="1:47" ht="7.95" customHeight="1" x14ac:dyDescent="0.3">
      <c r="B393" s="47"/>
      <c r="G393" s="7"/>
      <c r="L393" s="7"/>
      <c r="Q393" s="7"/>
      <c r="V393" s="7"/>
      <c r="AA393" s="7"/>
      <c r="AF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8" t="s">
        <v>29</v>
      </c>
    </row>
    <row r="394" spans="1:47" ht="16.2" customHeight="1" x14ac:dyDescent="0.3">
      <c r="A394" s="2" t="s">
        <v>30</v>
      </c>
      <c r="B394" s="58" t="s">
        <v>226</v>
      </c>
      <c r="C394" s="59"/>
      <c r="D394" s="59"/>
      <c r="E394" s="59"/>
      <c r="F394" s="59"/>
      <c r="G394" s="60"/>
      <c r="H394" s="59"/>
      <c r="I394" s="59"/>
      <c r="J394" s="59"/>
      <c r="K394" s="59"/>
      <c r="L394" s="60"/>
      <c r="M394" s="59"/>
      <c r="N394" s="59"/>
      <c r="O394" s="59"/>
      <c r="P394" s="59"/>
      <c r="Q394" s="60"/>
      <c r="R394" s="59"/>
      <c r="S394" s="59"/>
      <c r="T394" s="59"/>
      <c r="U394" s="59"/>
      <c r="V394" s="60"/>
      <c r="W394" s="59"/>
      <c r="X394" s="59"/>
      <c r="Y394" s="59"/>
      <c r="Z394" s="59"/>
      <c r="AA394" s="60"/>
      <c r="AB394" s="59"/>
      <c r="AC394" s="59"/>
      <c r="AD394" s="59"/>
      <c r="AE394" s="59"/>
      <c r="AF394" s="60"/>
      <c r="AG394" s="59"/>
      <c r="AH394" s="59"/>
      <c r="AI394" s="59"/>
      <c r="AJ394" s="59"/>
      <c r="AK394" s="60"/>
      <c r="AL394" s="60"/>
      <c r="AM394" s="60"/>
      <c r="AN394" s="60"/>
      <c r="AO394" s="60"/>
      <c r="AP394" s="60"/>
      <c r="AQ394" s="60"/>
      <c r="AR394" s="60"/>
      <c r="AS394" s="60"/>
      <c r="AT394" s="60"/>
      <c r="AU394" s="8" t="s">
        <v>29</v>
      </c>
    </row>
    <row r="395" spans="1:47" ht="7.95" customHeight="1" x14ac:dyDescent="0.3">
      <c r="B395" s="24"/>
      <c r="G395" s="7"/>
      <c r="L395" s="7"/>
      <c r="Q395" s="7"/>
      <c r="V395" s="7"/>
      <c r="AA395" s="7"/>
      <c r="AF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8" t="s">
        <v>29</v>
      </c>
    </row>
    <row r="396" spans="1:47" ht="16.2" customHeight="1" x14ac:dyDescent="0.3">
      <c r="B396" s="25" t="s">
        <v>227</v>
      </c>
      <c r="C396" s="5"/>
      <c r="D396" s="5"/>
      <c r="E396" s="5"/>
      <c r="F396" s="5"/>
      <c r="G396" s="44"/>
      <c r="H396" s="28">
        <f>SUM(D368:F368,H368)</f>
        <v>10.070999999999998</v>
      </c>
      <c r="I396" s="28">
        <f>SUM(E368:F368,H368:I368)</f>
        <v>14.312999999999999</v>
      </c>
      <c r="J396" s="28">
        <f>SUM(F368,H368:J368)</f>
        <v>17.860999999999997</v>
      </c>
      <c r="K396" s="28">
        <f t="shared" ref="K396:AJ396" si="685">SUM(H368:K368)</f>
        <v>13.660000000000002</v>
      </c>
      <c r="L396" s="29">
        <f>K396</f>
        <v>13.660000000000002</v>
      </c>
      <c r="M396" s="28">
        <f>SUM(I368:K368,M368)</f>
        <v>18.055</v>
      </c>
      <c r="N396" s="28">
        <f>SUM(J368:K368,M368:N368)</f>
        <v>35.919000000000004</v>
      </c>
      <c r="O396" s="28">
        <f>SUM(K368,M368:O368)</f>
        <v>52.650999999999996</v>
      </c>
      <c r="P396" s="28">
        <f t="shared" si="685"/>
        <v>56.540999999999997</v>
      </c>
      <c r="Q396" s="29">
        <f>P396</f>
        <v>56.540999999999997</v>
      </c>
      <c r="R396" s="28">
        <f>SUM(N368:P368,R368)</f>
        <v>58.840999999999994</v>
      </c>
      <c r="S396" s="28">
        <f>SUM(O368:P368,R368:S368)</f>
        <v>44.459999999999994</v>
      </c>
      <c r="T396" s="28">
        <f>SUM(P368,R368:T368)</f>
        <v>34.268000000000001</v>
      </c>
      <c r="U396" s="28">
        <f t="shared" si="685"/>
        <v>33.713000000000001</v>
      </c>
      <c r="V396" s="29">
        <f>U396</f>
        <v>33.713000000000001</v>
      </c>
      <c r="W396" s="28">
        <f>SUM(S368:U368,W368)</f>
        <v>37.777000000000001</v>
      </c>
      <c r="X396" s="28">
        <f>SUM(T368:U368,W368:X368)</f>
        <v>39.981999999999999</v>
      </c>
      <c r="Y396" s="28">
        <f>SUM(U368,W368:Y368)</f>
        <v>41.915000000000006</v>
      </c>
      <c r="Z396" s="28">
        <f t="shared" si="685"/>
        <v>45.181000000000004</v>
      </c>
      <c r="AA396" s="29">
        <f>Z396</f>
        <v>45.181000000000004</v>
      </c>
      <c r="AB396" s="28">
        <f>SUM(X368:Z368,AB368)</f>
        <v>42.800000000000004</v>
      </c>
      <c r="AC396" s="28">
        <f>SUM(Y368:Z368,AB368:AC368)</f>
        <v>44.623999999999995</v>
      </c>
      <c r="AD396" s="28">
        <f>SUM(Z368,AB368:AD368)</f>
        <v>42.138999999999996</v>
      </c>
      <c r="AE396" s="28">
        <f t="shared" si="685"/>
        <v>46.106999999999999</v>
      </c>
      <c r="AF396" s="29">
        <f>AE396</f>
        <v>46.106999999999999</v>
      </c>
      <c r="AG396" s="28">
        <f>SUM(AC368:AE368,AG368)</f>
        <v>48.71</v>
      </c>
      <c r="AH396" s="28">
        <f ca="1">SUM(AD368:AE368,AG368:AH368)</f>
        <v>49.773005228466552</v>
      </c>
      <c r="AI396" s="28">
        <f ca="1">SUM(AE368,AG368:AI368)</f>
        <v>53.371336967756307</v>
      </c>
      <c r="AJ396" s="28">
        <f t="shared" ca="1" si="685"/>
        <v>54.930509065281015</v>
      </c>
      <c r="AK396" s="29">
        <f ca="1">AJ396</f>
        <v>54.930509065281015</v>
      </c>
      <c r="AL396" s="29">
        <f ca="1">AL368</f>
        <v>62.023814620762224</v>
      </c>
      <c r="AM396" s="29">
        <f ca="1">AM368</f>
        <v>69.883471367126361</v>
      </c>
      <c r="AN396" s="29">
        <f t="shared" ref="AN396:AT396" ca="1" si="686">AN368</f>
        <v>78.338275327613744</v>
      </c>
      <c r="AO396" s="29">
        <f t="shared" ca="1" si="686"/>
        <v>87.426014134164518</v>
      </c>
      <c r="AP396" s="29">
        <f t="shared" ca="1" si="686"/>
        <v>97.186666097920892</v>
      </c>
      <c r="AQ396" s="29">
        <f t="shared" ca="1" si="686"/>
        <v>107.66252057244922</v>
      </c>
      <c r="AR396" s="29">
        <f t="shared" ca="1" si="686"/>
        <v>118.89830472473133</v>
      </c>
      <c r="AS396" s="29">
        <f t="shared" ca="1" si="686"/>
        <v>130.94131705015724</v>
      </c>
      <c r="AT396" s="29">
        <f t="shared" ca="1" si="686"/>
        <v>143.84156798543171</v>
      </c>
      <c r="AU396" s="8" t="s">
        <v>29</v>
      </c>
    </row>
    <row r="397" spans="1:47" ht="16.2" customHeight="1" x14ac:dyDescent="0.3">
      <c r="B397" s="20" t="s">
        <v>171</v>
      </c>
      <c r="G397" s="7"/>
      <c r="H397" s="21">
        <f>H396/SUM(D$16:F$16,H$16)</f>
        <v>3.6635335985340342E-2</v>
      </c>
      <c r="I397" s="21">
        <f>I396/SUM(E$16:F$16,H$16:I$16)</f>
        <v>4.1378469398816738E-2</v>
      </c>
      <c r="J397" s="21">
        <f>J396/SUM(F$16,H$16:J$16)</f>
        <v>4.4164750755221735E-2</v>
      </c>
      <c r="K397" s="21">
        <f t="shared" ref="K397:AJ397" si="687">K396/SUM(H$16:K$16)</f>
        <v>3.1431790946683739E-2</v>
      </c>
      <c r="L397" s="14">
        <f>K397</f>
        <v>3.1431790946683739E-2</v>
      </c>
      <c r="M397" s="21">
        <f>M396/SUM(I$16:K$16,M$16)</f>
        <v>3.734980091559785E-2</v>
      </c>
      <c r="N397" s="21">
        <f>N396/SUM(J$16:K$16,M$16:N$16)</f>
        <v>6.9020998449978554E-2</v>
      </c>
      <c r="O397" s="21">
        <f>O396/SUM(K$16,M$16:O$16)</f>
        <v>9.8639340472233078E-2</v>
      </c>
      <c r="P397" s="21">
        <f t="shared" si="687"/>
        <v>9.9644711380867265E-2</v>
      </c>
      <c r="Q397" s="14">
        <f>P397</f>
        <v>9.9644711380867265E-2</v>
      </c>
      <c r="R397" s="21">
        <f>R396/SUM(N$16:P$16,R$16)</f>
        <v>9.8628543460187165E-2</v>
      </c>
      <c r="S397" s="21">
        <f>S396/SUM(O$16:P$16,R$16:S$16)</f>
        <v>7.1602921182603904E-2</v>
      </c>
      <c r="T397" s="21">
        <f>T396/SUM(P$16,R$16:T$16)</f>
        <v>5.2959940091925943E-2</v>
      </c>
      <c r="U397" s="21">
        <f t="shared" si="687"/>
        <v>4.931035183659447E-2</v>
      </c>
      <c r="V397" s="14">
        <f>U397</f>
        <v>4.931035183659447E-2</v>
      </c>
      <c r="W397" s="21">
        <f>W396/SUM(S$16:U$16,W$16)</f>
        <v>5.3650519517554243E-2</v>
      </c>
      <c r="X397" s="21">
        <f>X396/SUM(T$16:U$16,W$16:X$16)</f>
        <v>5.4003623735081156E-2</v>
      </c>
      <c r="Y397" s="21">
        <f>Y396/SUM(U$16,W$16:Y$16)</f>
        <v>5.3708603755694098E-2</v>
      </c>
      <c r="Z397" s="21">
        <f t="shared" si="687"/>
        <v>5.4319821005844246E-2</v>
      </c>
      <c r="AA397" s="14">
        <f>Z397</f>
        <v>5.4319821005844246E-2</v>
      </c>
      <c r="AB397" s="21">
        <f>AB396/SUM(X16:Z16,AB16)</f>
        <v>4.8503310237598234E-2</v>
      </c>
      <c r="AC397" s="21">
        <f>AC396/SUM(Y16:Z16,AB16:AC16)</f>
        <v>4.7854001542086182E-2</v>
      </c>
      <c r="AD397" s="21">
        <f>AD396/SUM(Z16,AB16:AD16)</f>
        <v>4.227864636895666E-2</v>
      </c>
      <c r="AE397" s="21">
        <f t="shared" si="687"/>
        <v>4.4057784335010015E-2</v>
      </c>
      <c r="AF397" s="14">
        <f>AE397</f>
        <v>4.4057784335010015E-2</v>
      </c>
      <c r="AG397" s="21">
        <f>AG396/SUM(AC16:AE16,AG16)</f>
        <v>4.4898809457969702E-2</v>
      </c>
      <c r="AH397" s="21">
        <f ca="1">AH396/SUM(AD16:AE16,AG16:AH16)</f>
        <v>4.5111178781529031E-2</v>
      </c>
      <c r="AI397" s="21">
        <f ca="1">AI396/SUM(AE16,AG16:AI16)</f>
        <v>4.8086159636568225E-2</v>
      </c>
      <c r="AJ397" s="21">
        <f t="shared" ca="1" si="687"/>
        <v>4.7590002286617666E-2</v>
      </c>
      <c r="AK397" s="14">
        <f ca="1">AJ397</f>
        <v>4.7590002286617666E-2</v>
      </c>
      <c r="AL397" s="14">
        <f t="shared" ref="AL397:AT397" ca="1" si="688">AL396/AL16</f>
        <v>4.7092157214364765E-2</v>
      </c>
      <c r="AM397" s="14">
        <f t="shared" ca="1" si="688"/>
        <v>4.6651227550045915E-2</v>
      </c>
      <c r="AN397" s="14">
        <f t="shared" ca="1" si="688"/>
        <v>4.6275720937067139E-2</v>
      </c>
      <c r="AO397" s="14">
        <f t="shared" ca="1" si="688"/>
        <v>4.5952122693874352E-2</v>
      </c>
      <c r="AP397" s="14">
        <f t="shared" ca="1" si="688"/>
        <v>4.5670400507862023E-2</v>
      </c>
      <c r="AQ397" s="14">
        <f t="shared" ca="1" si="688"/>
        <v>4.5422950678270409E-2</v>
      </c>
      <c r="AR397" s="14">
        <f t="shared" ca="1" si="688"/>
        <v>4.5203905160509275E-2</v>
      </c>
      <c r="AS397" s="14">
        <f t="shared" ca="1" si="688"/>
        <v>4.500866306643779E-2</v>
      </c>
      <c r="AT397" s="14">
        <f t="shared" ca="1" si="688"/>
        <v>4.4833566144094922E-2</v>
      </c>
      <c r="AU397" s="8" t="s">
        <v>29</v>
      </c>
    </row>
    <row r="398" spans="1:47" ht="7.95" customHeight="1" x14ac:dyDescent="0.3">
      <c r="B398" s="24"/>
      <c r="G398" s="7"/>
      <c r="L398" s="7"/>
      <c r="Q398" s="7"/>
      <c r="V398" s="7"/>
      <c r="AA398" s="7"/>
      <c r="AF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8" t="s">
        <v>29</v>
      </c>
    </row>
    <row r="399" spans="1:47" ht="16.2" customHeight="1" x14ac:dyDescent="0.3">
      <c r="B399" s="20" t="s">
        <v>228</v>
      </c>
      <c r="G399" s="7"/>
      <c r="H399" s="22">
        <f>SUM(D374:F374,H374)</f>
        <v>9.4380000000000006</v>
      </c>
      <c r="I399" s="22">
        <f>SUM(E374:F374,H374:I374)</f>
        <v>12.917000000000002</v>
      </c>
      <c r="J399" s="22">
        <f>SUM(F374,H374:J374)</f>
        <v>15.190000000000001</v>
      </c>
      <c r="K399" s="22">
        <f t="shared" ref="K399:AJ399" si="689">SUM(H374:K374)</f>
        <v>9.8189999999999991</v>
      </c>
      <c r="L399" s="23">
        <f>K399</f>
        <v>9.8189999999999991</v>
      </c>
      <c r="M399" s="22">
        <f>SUM(I374:K374,M374)</f>
        <v>13.297000000000001</v>
      </c>
      <c r="N399" s="22">
        <f>SUM(J374:K374,M374:N374)</f>
        <v>30.614000000000001</v>
      </c>
      <c r="O399" s="22">
        <f>SUM(K374,M374:O374)</f>
        <v>45.631</v>
      </c>
      <c r="P399" s="22">
        <f t="shared" si="689"/>
        <v>48.591999999999999</v>
      </c>
      <c r="Q399" s="23">
        <f>P399</f>
        <v>48.591999999999999</v>
      </c>
      <c r="R399" s="22">
        <f>SUM(N374:P374,R374)</f>
        <v>49.333999999999996</v>
      </c>
      <c r="S399" s="22">
        <f>SUM(O374:P374,R374:S374)</f>
        <v>33.761000000000003</v>
      </c>
      <c r="T399" s="22">
        <f>SUM(P374,R374:T374)</f>
        <v>20.364000000000001</v>
      </c>
      <c r="U399" s="22">
        <f t="shared" si="689"/>
        <v>20.081000000000003</v>
      </c>
      <c r="V399" s="23">
        <f>U399</f>
        <v>20.081000000000003</v>
      </c>
      <c r="W399" s="22">
        <f>SUM(S374:U374,W374)</f>
        <v>22.036999999999999</v>
      </c>
      <c r="X399" s="22">
        <f>SUM(T374:U374,W374:X374)</f>
        <v>25.304000000000002</v>
      </c>
      <c r="Y399" s="22">
        <f>SUM(U374,W374:Y374)</f>
        <v>30.545000000000002</v>
      </c>
      <c r="Z399" s="22">
        <f t="shared" si="689"/>
        <v>35.262999999999998</v>
      </c>
      <c r="AA399" s="23">
        <f>Z399</f>
        <v>35.262999999999998</v>
      </c>
      <c r="AB399" s="22">
        <f>SUM(X374:Z374,AB374)</f>
        <v>35.094999999999999</v>
      </c>
      <c r="AC399" s="22">
        <f>SUM(Y374:Z374,AB374:AC374)</f>
        <v>32.802999999999997</v>
      </c>
      <c r="AD399" s="22">
        <f>SUM(Z374,AB374:AD374)</f>
        <v>29.195</v>
      </c>
      <c r="AE399" s="22">
        <f t="shared" si="689"/>
        <v>29.474000000000004</v>
      </c>
      <c r="AF399" s="23">
        <f>AE399</f>
        <v>29.474000000000004</v>
      </c>
      <c r="AG399" s="22">
        <f>SUM(AC374:AE374,AG374)</f>
        <v>30.902000000000001</v>
      </c>
      <c r="AH399" s="22">
        <f ca="1">SUM(AD374:AE374,AG374:AH374)</f>
        <v>34.943526975156551</v>
      </c>
      <c r="AI399" s="22">
        <f ca="1">SUM(AE374,AG374:AI374)</f>
        <v>39.832871243545213</v>
      </c>
      <c r="AJ399" s="22">
        <f t="shared" ca="1" si="689"/>
        <v>41.929641823010662</v>
      </c>
      <c r="AK399" s="23">
        <f ca="1">AJ399</f>
        <v>41.929641823010662</v>
      </c>
      <c r="AL399" s="23">
        <f ca="1">AL374</f>
        <v>47.188925212318743</v>
      </c>
      <c r="AM399" s="23">
        <f ca="1">AM374</f>
        <v>53.010723406227825</v>
      </c>
      <c r="AN399" s="23">
        <f t="shared" ref="AN399:AT399" ca="1" si="690">AN374</f>
        <v>59.270710221606166</v>
      </c>
      <c r="AO399" s="23">
        <f t="shared" ca="1" si="690"/>
        <v>65.996638070236216</v>
      </c>
      <c r="AP399" s="23">
        <f t="shared" ca="1" si="690"/>
        <v>73.21786621445608</v>
      </c>
      <c r="AQ399" s="23">
        <f t="shared" ca="1" si="690"/>
        <v>80.965448989267841</v>
      </c>
      <c r="AR399" s="23">
        <f t="shared" ca="1" si="690"/>
        <v>89.272228719037699</v>
      </c>
      <c r="AS399" s="23">
        <f t="shared" ca="1" si="690"/>
        <v>98.172933575045761</v>
      </c>
      <c r="AT399" s="23">
        <f t="shared" ca="1" si="690"/>
        <v>107.70428063308803</v>
      </c>
      <c r="AU399" s="8" t="s">
        <v>29</v>
      </c>
    </row>
    <row r="400" spans="1:47" ht="16.2" customHeight="1" x14ac:dyDescent="0.3">
      <c r="B400" s="24" t="s">
        <v>171</v>
      </c>
      <c r="G400" s="7"/>
      <c r="H400" s="21">
        <f>H399/SUM(D$16:F$16,H$16)</f>
        <v>3.4332668159035074E-2</v>
      </c>
      <c r="I400" s="21">
        <f>I399/SUM(E$16:F$16,H$16:I$16)</f>
        <v>3.7342673738874864E-2</v>
      </c>
      <c r="J400" s="21">
        <f>J399/SUM(F$16,H$16:J$16)</f>
        <v>3.7560190581256279E-2</v>
      </c>
      <c r="K400" s="21">
        <f t="shared" ref="K400:AJ400" si="691">K399/SUM(H$16:K$16)</f>
        <v>2.2593613126316806E-2</v>
      </c>
      <c r="L400" s="14">
        <f>K400</f>
        <v>2.2593613126316806E-2</v>
      </c>
      <c r="M400" s="21">
        <f>M399/SUM(I$16:K$16,M$16)</f>
        <v>2.7507078525322883E-2</v>
      </c>
      <c r="N400" s="21">
        <f>N399/SUM(J$16:K$16,M$16:N$16)</f>
        <v>5.8827051046734136E-2</v>
      </c>
      <c r="O400" s="21">
        <f>O399/SUM(K$16,M$16:O$16)</f>
        <v>8.5487678203423831E-2</v>
      </c>
      <c r="P400" s="21">
        <f t="shared" si="691"/>
        <v>8.5635836214766323E-2</v>
      </c>
      <c r="Q400" s="14">
        <f>P400</f>
        <v>8.5635836214766323E-2</v>
      </c>
      <c r="R400" s="21">
        <f>R399/SUM(N$16:P$16,R$16)</f>
        <v>8.26930297422694E-2</v>
      </c>
      <c r="S400" s="21">
        <f>S399/SUM(O$16:P$16,R$16:S$16)</f>
        <v>5.43721597401235E-2</v>
      </c>
      <c r="T400" s="21">
        <f>T399/SUM(P$16,R$16:T$16)</f>
        <v>3.1471816856308503E-2</v>
      </c>
      <c r="U400" s="21">
        <f t="shared" si="691"/>
        <v>2.937149394093239E-2</v>
      </c>
      <c r="V400" s="14">
        <f>U400</f>
        <v>2.937149394093239E-2</v>
      </c>
      <c r="W400" s="21">
        <f>W399/SUM(S$16:U$16,W$16)</f>
        <v>3.1296728131094124E-2</v>
      </c>
      <c r="X400" s="21">
        <f>X399/SUM(T$16:U$16,W$16:X$16)</f>
        <v>3.417807250744069E-2</v>
      </c>
      <c r="Y400" s="21">
        <f>Y399/SUM(U$16,W$16:Y$16)</f>
        <v>3.9139432225162259E-2</v>
      </c>
      <c r="Z400" s="21">
        <f t="shared" si="691"/>
        <v>4.2395693945000895E-2</v>
      </c>
      <c r="AA400" s="14">
        <f>Z400</f>
        <v>4.2395693945000895E-2</v>
      </c>
      <c r="AB400" s="21">
        <f>AB399/SUM(X16:Z16,AB16)</f>
        <v>3.9771581139918452E-2</v>
      </c>
      <c r="AC400" s="21">
        <f>AC399/SUM(Y16:Z16,AB16:AC16)</f>
        <v>3.51773667216084E-2</v>
      </c>
      <c r="AD400" s="21">
        <f>AD399/SUM(Z16,AB16:AD16)</f>
        <v>2.9291750652404892E-2</v>
      </c>
      <c r="AE400" s="21">
        <f t="shared" si="691"/>
        <v>2.8164034430565543E-2</v>
      </c>
      <c r="AF400" s="14">
        <f>AE400</f>
        <v>2.8164034430565543E-2</v>
      </c>
      <c r="AG400" s="21">
        <f>AG399/SUM(AC16:AE16,AG16)</f>
        <v>2.8484151300968583E-2</v>
      </c>
      <c r="AH400" s="21">
        <f ca="1">AH399/SUM(AD16:AE16,AG16:AH16)</f>
        <v>3.1670655316024907E-2</v>
      </c>
      <c r="AI400" s="21">
        <f ca="1">AI399/SUM(AE16,AG16:AI16)</f>
        <v>3.5888360948446094E-2</v>
      </c>
      <c r="AJ400" s="21">
        <f t="shared" ca="1" si="691"/>
        <v>3.6326474743984399E-2</v>
      </c>
      <c r="AK400" s="14">
        <f ca="1">AJ400</f>
        <v>3.6326474743984399E-2</v>
      </c>
      <c r="AL400" s="14">
        <f t="shared" ref="AL400:AT400" ca="1" si="692">AL399/AL16</f>
        <v>3.5828629671731498E-2</v>
      </c>
      <c r="AM400" s="14">
        <f t="shared" ca="1" si="692"/>
        <v>3.5387700007412655E-2</v>
      </c>
      <c r="AN400" s="14">
        <f t="shared" ca="1" si="692"/>
        <v>3.5012193394433871E-2</v>
      </c>
      <c r="AO400" s="14">
        <f t="shared" ca="1" si="692"/>
        <v>3.4688595151241085E-2</v>
      </c>
      <c r="AP400" s="14">
        <f t="shared" ca="1" si="692"/>
        <v>3.4406872965228763E-2</v>
      </c>
      <c r="AQ400" s="14">
        <f t="shared" ca="1" si="692"/>
        <v>3.4159423135637142E-2</v>
      </c>
      <c r="AR400" s="14">
        <f t="shared" ca="1" si="692"/>
        <v>3.3940377617876008E-2</v>
      </c>
      <c r="AS400" s="14">
        <f t="shared" ca="1" si="692"/>
        <v>3.374513552380453E-2</v>
      </c>
      <c r="AT400" s="14">
        <f t="shared" ca="1" si="692"/>
        <v>3.3570038601461662E-2</v>
      </c>
      <c r="AU400" s="8" t="s">
        <v>29</v>
      </c>
    </row>
    <row r="401" spans="2:47" ht="7.95" customHeight="1" x14ac:dyDescent="0.3">
      <c r="B401" s="24"/>
      <c r="G401" s="7"/>
      <c r="L401" s="7"/>
      <c r="Q401" s="7"/>
      <c r="V401" s="7"/>
      <c r="AA401" s="7"/>
      <c r="AF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8" t="s">
        <v>29</v>
      </c>
    </row>
    <row r="402" spans="2:47" ht="16.2" customHeight="1" x14ac:dyDescent="0.3">
      <c r="B402" s="20" t="s">
        <v>229</v>
      </c>
      <c r="G402" s="7"/>
      <c r="H402" s="22">
        <f ca="1">SUM(D377:F377,H377)</f>
        <v>3.5818339038558116</v>
      </c>
      <c r="I402" s="22">
        <f ca="1">SUM(E377:F377,H377:I377)</f>
        <v>3.6266068276540091</v>
      </c>
      <c r="J402" s="22">
        <f ca="1">SUM(F377,H377:J377)</f>
        <v>4.5668382274161594</v>
      </c>
      <c r="K402" s="22">
        <f t="shared" ref="K402:AJ402" ca="1" si="693">SUM(H377:K377)</f>
        <v>1.8804627995243011</v>
      </c>
      <c r="L402" s="23">
        <f ca="1">K402</f>
        <v>1.8804627995243011</v>
      </c>
      <c r="M402" s="22">
        <f ca="1">SUM(I377:K377,M377)</f>
        <v>1.8804627995243011</v>
      </c>
      <c r="N402" s="22">
        <f ca="1">SUM(J377:K377,M377:N377)</f>
        <v>1.9274743695124088</v>
      </c>
      <c r="O402" s="22">
        <f ca="1">SUM(K377,M377:O377)</f>
        <v>0.98724296975025816</v>
      </c>
      <c r="P402" s="22">
        <f t="shared" ca="1" si="693"/>
        <v>2.9617289092507746</v>
      </c>
      <c r="Q402" s="23">
        <f ca="1">P402</f>
        <v>2.9617289092507746</v>
      </c>
      <c r="R402" s="22">
        <f ca="1">SUM(N377:P377,R377)</f>
        <v>2.9617289092507746</v>
      </c>
      <c r="S402" s="22">
        <f ca="1">SUM(O377:P377,R377:S377)</f>
        <v>1.9744859395005163</v>
      </c>
      <c r="T402" s="22">
        <f ca="1">SUM(P377,R377:T377)</f>
        <v>3.0110910577382874</v>
      </c>
      <c r="U402" s="22">
        <f t="shared" ca="1" si="693"/>
        <v>2.0732102364755423</v>
      </c>
      <c r="V402" s="23">
        <f ca="1">U402</f>
        <v>2.0732102364755423</v>
      </c>
      <c r="W402" s="22">
        <f ca="1">SUM(S377:U377,W377)</f>
        <v>4.2500809847748613</v>
      </c>
      <c r="X402" s="22">
        <f ca="1">SUM(T377:U377,W377:X377)</f>
        <v>7.515387107223841</v>
      </c>
      <c r="Y402" s="22">
        <f ca="1">SUM(U377,W377:Y377)</f>
        <v>7.5672173631357289</v>
      </c>
      <c r="Z402" s="22">
        <f t="shared" ca="1" si="693"/>
        <v>7.6190476190476168</v>
      </c>
      <c r="AA402" s="23">
        <f ca="1">Z402</f>
        <v>7.6190476190476168</v>
      </c>
      <c r="AB402" s="22">
        <f ca="1">SUM(X377:Z377,AB377)</f>
        <v>5.4421768707482983</v>
      </c>
      <c r="AC402" s="22">
        <f ca="1">SUM(Y377:Z377,AB377:AC377)</f>
        <v>3.3197278911564623</v>
      </c>
      <c r="AD402" s="22">
        <f ca="1">SUM(Z377,AB377:AD377)</f>
        <v>3.3741496598639453</v>
      </c>
      <c r="AE402" s="22">
        <f t="shared" ca="1" si="693"/>
        <v>3.4285714285714284</v>
      </c>
      <c r="AF402" s="23">
        <f ca="1">AE402</f>
        <v>3.4285714285714284</v>
      </c>
      <c r="AG402" s="22">
        <f ca="1">SUM(AC377:AE377,AG377)</f>
        <v>3.4285714285714284</v>
      </c>
      <c r="AH402" s="22">
        <f ca="1">SUM(AD377:AE377,AG377:AH377)</f>
        <v>4.6857142857142851</v>
      </c>
      <c r="AI402" s="22">
        <f ca="1">SUM(AE377,AG377:AI377)</f>
        <v>5.9428571428571431</v>
      </c>
      <c r="AJ402" s="22">
        <f t="shared" ca="1" si="693"/>
        <v>7.1999999999999993</v>
      </c>
      <c r="AK402" s="23">
        <f ca="1">AJ402</f>
        <v>7.1999999999999993</v>
      </c>
      <c r="AL402" s="23">
        <f ca="1">AL377</f>
        <v>7.5600000000000005</v>
      </c>
      <c r="AM402" s="23">
        <f ca="1">AM377</f>
        <v>7.9380000000000006</v>
      </c>
      <c r="AN402" s="23">
        <f t="shared" ref="AN402:AT402" ca="1" si="694">AN377</f>
        <v>8.3349000000000011</v>
      </c>
      <c r="AO402" s="23">
        <f t="shared" ca="1" si="694"/>
        <v>8.7516450000000034</v>
      </c>
      <c r="AP402" s="23">
        <f t="shared" ca="1" si="694"/>
        <v>9.1892272500000036</v>
      </c>
      <c r="AQ402" s="23">
        <f t="shared" ca="1" si="694"/>
        <v>9.6486886125000044</v>
      </c>
      <c r="AR402" s="23">
        <f t="shared" ca="1" si="694"/>
        <v>10.131123043125005</v>
      </c>
      <c r="AS402" s="23">
        <f t="shared" ca="1" si="694"/>
        <v>10.637679195281256</v>
      </c>
      <c r="AT402" s="23">
        <f t="shared" ca="1" si="694"/>
        <v>11.169563155045321</v>
      </c>
      <c r="AU402" s="8" t="s">
        <v>29</v>
      </c>
    </row>
    <row r="403" spans="2:47" ht="16.2" customHeight="1" x14ac:dyDescent="0.3">
      <c r="B403" s="24" t="s">
        <v>171</v>
      </c>
      <c r="G403" s="7"/>
      <c r="H403" s="21">
        <f ca="1">H402/SUM(D$16:F$16,H$16)</f>
        <v>1.302965827737473E-2</v>
      </c>
      <c r="I403" s="21">
        <f ca="1">I402/SUM(E$16:F$16,H$16:I$16)</f>
        <v>1.0484415541090007E-2</v>
      </c>
      <c r="J403" s="21">
        <f ca="1">J402/SUM(F$16,H$16:J$16)</f>
        <v>1.1292384080020904E-2</v>
      </c>
      <c r="K403" s="21">
        <f t="shared" ref="K403:AJ403" ca="1" si="695">K402/SUM(H$16:K$16)</f>
        <v>4.3269629280866381E-3</v>
      </c>
      <c r="L403" s="14">
        <f ca="1">K403</f>
        <v>4.3269629280866381E-3</v>
      </c>
      <c r="M403" s="21">
        <f ca="1">M402/SUM(I$16:K$16,M$16)</f>
        <v>3.8900532368551892E-3</v>
      </c>
      <c r="N403" s="21">
        <f ca="1">N402/SUM(J$16:K$16,M$16:N$16)</f>
        <v>3.7037836652047485E-3</v>
      </c>
      <c r="O403" s="21">
        <f ca="1">O402/SUM(K$16,M$16:O$16)</f>
        <v>1.8495564266968192E-3</v>
      </c>
      <c r="P403" s="21">
        <f t="shared" ca="1" si="695"/>
        <v>5.2195861826049112E-3</v>
      </c>
      <c r="Q403" s="14">
        <f ca="1">P403</f>
        <v>5.2195861826049112E-3</v>
      </c>
      <c r="R403" s="21">
        <f ca="1">R402/SUM(N$16:P$16,R$16)</f>
        <v>4.9644127129609078E-3</v>
      </c>
      <c r="S403" s="21">
        <f ca="1">S402/SUM(O$16:P$16,R$16:S$16)</f>
        <v>3.1799136550205828E-3</v>
      </c>
      <c r="T403" s="21">
        <f ca="1">T402/SUM(P$16,R$16:T$16)</f>
        <v>4.6535310502262639E-3</v>
      </c>
      <c r="U403" s="21">
        <f t="shared" ca="1" si="695"/>
        <v>3.0323829440227273E-3</v>
      </c>
      <c r="V403" s="14">
        <f ca="1">U403</f>
        <v>3.0323829440227273E-3</v>
      </c>
      <c r="W403" s="21">
        <f ca="1">W402/SUM(S$16:U$16,W$16)</f>
        <v>6.0359227261256813E-3</v>
      </c>
      <c r="X403" s="21">
        <f ca="1">X402/SUM(T$16:U$16,W$16:X$16)</f>
        <v>1.0151021398679313E-2</v>
      </c>
      <c r="Y403" s="21">
        <f ca="1">Y402/SUM(U$16,W$16:Y$16)</f>
        <v>9.6964017389923676E-3</v>
      </c>
      <c r="Z403" s="21">
        <f t="shared" ca="1" si="695"/>
        <v>9.1601625218935018E-3</v>
      </c>
      <c r="AA403" s="14">
        <f ca="1">Z403</f>
        <v>9.1601625218935018E-3</v>
      </c>
      <c r="AB403" s="21">
        <f ca="1">AB402/SUM(X16:Z16,AB16)</f>
        <v>6.1673736712566868E-3</v>
      </c>
      <c r="AC403" s="21">
        <f ca="1">AC402/SUM(Y16:Z16,AB16:AC16)</f>
        <v>3.5600184569448698E-3</v>
      </c>
      <c r="AD403" s="21">
        <f ca="1">AD402/SUM(Z16,AB16:AD16)</f>
        <v>3.3853314095095553E-3</v>
      </c>
      <c r="AE403" s="21">
        <f t="shared" ca="1" si="695"/>
        <v>3.2761893113231657E-3</v>
      </c>
      <c r="AF403" s="14">
        <f ca="1">AE403</f>
        <v>3.2761893113231657E-3</v>
      </c>
      <c r="AG403" s="21">
        <f ca="1">AG402/SUM(AC16:AE16,AG16)</f>
        <v>3.1603115435119592E-3</v>
      </c>
      <c r="AH403" s="21">
        <f ca="1">AH402/SUM(AD16:AE16,AG16:AH16)</f>
        <v>4.2468421163592666E-3</v>
      </c>
      <c r="AI403" s="21">
        <f ca="1">AI402/SUM(AE16,AG16:AI16)</f>
        <v>5.3543567297441421E-3</v>
      </c>
      <c r="AJ403" s="21">
        <f t="shared" ca="1" si="695"/>
        <v>6.2378452756815753E-3</v>
      </c>
      <c r="AK403" s="14">
        <f ca="1">AJ403</f>
        <v>6.2378452756815753E-3</v>
      </c>
      <c r="AL403" s="14">
        <f t="shared" ref="AL403:AT403" ca="1" si="696">AL402/AL16</f>
        <v>5.7400002034286761E-3</v>
      </c>
      <c r="AM403" s="14">
        <f t="shared" ca="1" si="696"/>
        <v>5.2990705391098274E-3</v>
      </c>
      <c r="AN403" s="14">
        <f t="shared" ca="1" si="696"/>
        <v>4.9235639261310483E-3</v>
      </c>
      <c r="AO403" s="14">
        <f t="shared" ca="1" si="696"/>
        <v>4.5999656829382616E-3</v>
      </c>
      <c r="AP403" s="14">
        <f t="shared" ca="1" si="696"/>
        <v>4.3182434969259416E-3</v>
      </c>
      <c r="AQ403" s="14">
        <f t="shared" ca="1" si="696"/>
        <v>4.0707936673343176E-3</v>
      </c>
      <c r="AR403" s="14">
        <f t="shared" ca="1" si="696"/>
        <v>3.8517481495731871E-3</v>
      </c>
      <c r="AS403" s="14">
        <f t="shared" ca="1" si="696"/>
        <v>3.6565060555017095E-3</v>
      </c>
      <c r="AT403" s="14">
        <f t="shared" ca="1" si="696"/>
        <v>3.4814091331588385E-3</v>
      </c>
      <c r="AU403" s="8" t="s">
        <v>29</v>
      </c>
    </row>
    <row r="404" spans="2:47" ht="7.95" customHeight="1" x14ac:dyDescent="0.3">
      <c r="B404" s="24"/>
      <c r="G404" s="7"/>
      <c r="L404" s="7"/>
      <c r="Q404" s="7"/>
      <c r="V404" s="7"/>
      <c r="AA404" s="7"/>
      <c r="AF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8" t="s">
        <v>29</v>
      </c>
    </row>
    <row r="405" spans="2:47" ht="16.2" customHeight="1" x14ac:dyDescent="0.3">
      <c r="B405" s="24" t="s">
        <v>230</v>
      </c>
      <c r="G405" s="7"/>
      <c r="H405" s="69">
        <f>SUM(D380:F380,H380)</f>
        <v>3</v>
      </c>
      <c r="I405" s="69">
        <f>SUM(E380:F380,H380:I380)</f>
        <v>3</v>
      </c>
      <c r="J405" s="69">
        <f>SUM(F380,H380:J380)</f>
        <v>5</v>
      </c>
      <c r="K405" s="69">
        <f t="shared" ref="K405:AJ405" si="697">SUM(H380:K380)</f>
        <v>2</v>
      </c>
      <c r="L405" s="70">
        <f>K405</f>
        <v>2</v>
      </c>
      <c r="M405" s="69">
        <f>SUM(I380:K380,M380)</f>
        <v>2</v>
      </c>
      <c r="N405" s="69">
        <f>SUM(J380:K380,M380:N380)</f>
        <v>2</v>
      </c>
      <c r="O405" s="69">
        <f>SUM(K380,M380:O380)</f>
        <v>1</v>
      </c>
      <c r="P405" s="69">
        <f t="shared" si="697"/>
        <v>3</v>
      </c>
      <c r="Q405" s="70">
        <f>P405</f>
        <v>3</v>
      </c>
      <c r="R405" s="69">
        <f>SUM(N380:P380,R380)</f>
        <v>3</v>
      </c>
      <c r="S405" s="69">
        <f>SUM(O380:P380,R380:S380)</f>
        <v>2</v>
      </c>
      <c r="T405" s="69">
        <f>SUM(P380,R380:T380)</f>
        <v>3</v>
      </c>
      <c r="U405" s="69">
        <f t="shared" si="697"/>
        <v>2</v>
      </c>
      <c r="V405" s="70">
        <f>U405</f>
        <v>2</v>
      </c>
      <c r="W405" s="69">
        <f>SUM(S380:U380,W380)</f>
        <v>4</v>
      </c>
      <c r="X405" s="69">
        <f>SUM(T380:U380,W380:X380)</f>
        <v>7</v>
      </c>
      <c r="Y405" s="69">
        <f>SUM(U380,W380:Y380)</f>
        <v>7</v>
      </c>
      <c r="Z405" s="69">
        <f t="shared" si="697"/>
        <v>7</v>
      </c>
      <c r="AA405" s="70">
        <f>Z405</f>
        <v>7</v>
      </c>
      <c r="AB405" s="69">
        <f>SUM(X380:Z380,AB380)</f>
        <v>5</v>
      </c>
      <c r="AC405" s="69">
        <f>SUM(Y380:Z380,AB380:AC380)</f>
        <v>3</v>
      </c>
      <c r="AD405" s="69">
        <f>SUM(Z380,AB380:AD380)</f>
        <v>3</v>
      </c>
      <c r="AE405" s="69">
        <f t="shared" si="697"/>
        <v>3</v>
      </c>
      <c r="AF405" s="70">
        <f>AE405</f>
        <v>3</v>
      </c>
      <c r="AG405" s="69">
        <f>SUM(AC380:AE380,AG380)</f>
        <v>3</v>
      </c>
      <c r="AH405" s="69">
        <f>SUM(AD380:AE380,AG380:AH380)</f>
        <v>4</v>
      </c>
      <c r="AI405" s="69">
        <f>SUM(AE380,AG380:AI380)</f>
        <v>5</v>
      </c>
      <c r="AJ405" s="69">
        <f t="shared" si="697"/>
        <v>6</v>
      </c>
      <c r="AK405" s="70">
        <f>AJ405</f>
        <v>6</v>
      </c>
      <c r="AL405" s="70">
        <f>AL380</f>
        <v>6</v>
      </c>
      <c r="AM405" s="70">
        <f>AM380</f>
        <v>6</v>
      </c>
      <c r="AN405" s="70">
        <f t="shared" ref="AN405:AT405" si="698">AN380</f>
        <v>6</v>
      </c>
      <c r="AO405" s="70">
        <f t="shared" si="698"/>
        <v>6</v>
      </c>
      <c r="AP405" s="70">
        <f t="shared" si="698"/>
        <v>6</v>
      </c>
      <c r="AQ405" s="70">
        <f t="shared" si="698"/>
        <v>6</v>
      </c>
      <c r="AR405" s="70">
        <f t="shared" si="698"/>
        <v>6</v>
      </c>
      <c r="AS405" s="70">
        <f t="shared" si="698"/>
        <v>6</v>
      </c>
      <c r="AT405" s="70">
        <f t="shared" si="698"/>
        <v>6</v>
      </c>
      <c r="AU405" s="8" t="s">
        <v>29</v>
      </c>
    </row>
    <row r="406" spans="2:47" ht="16.2" customHeight="1" x14ac:dyDescent="0.3">
      <c r="B406" s="24" t="s">
        <v>221</v>
      </c>
      <c r="G406" s="7"/>
      <c r="H406" s="87">
        <f ca="1">H402/H405</f>
        <v>1.1939446346186038</v>
      </c>
      <c r="I406" s="87">
        <f t="shared" ref="I406:AJ406" ca="1" si="699">I402/I405</f>
        <v>1.2088689425513364</v>
      </c>
      <c r="J406" s="87">
        <f t="shared" ca="1" si="699"/>
        <v>0.9133676454832319</v>
      </c>
      <c r="K406" s="87">
        <f t="shared" ca="1" si="699"/>
        <v>0.94023139976215053</v>
      </c>
      <c r="L406" s="88">
        <f ca="1">K406</f>
        <v>0.94023139976215053</v>
      </c>
      <c r="M406" s="87">
        <f t="shared" ca="1" si="699"/>
        <v>0.94023139976215053</v>
      </c>
      <c r="N406" s="87">
        <f t="shared" ca="1" si="699"/>
        <v>0.9637371847562044</v>
      </c>
      <c r="O406" s="87">
        <f t="shared" ca="1" si="699"/>
        <v>0.98724296975025816</v>
      </c>
      <c r="P406" s="87">
        <f t="shared" ca="1" si="699"/>
        <v>0.98724296975025816</v>
      </c>
      <c r="Q406" s="88">
        <f ca="1">P406</f>
        <v>0.98724296975025816</v>
      </c>
      <c r="R406" s="87">
        <f t="shared" ca="1" si="699"/>
        <v>0.98724296975025816</v>
      </c>
      <c r="S406" s="87">
        <f t="shared" ca="1" si="699"/>
        <v>0.98724296975025816</v>
      </c>
      <c r="T406" s="87">
        <f t="shared" ca="1" si="699"/>
        <v>1.0036970192460959</v>
      </c>
      <c r="U406" s="87">
        <f t="shared" ca="1" si="699"/>
        <v>1.0366051182377711</v>
      </c>
      <c r="V406" s="88">
        <f ca="1">U406</f>
        <v>1.0366051182377711</v>
      </c>
      <c r="W406" s="87">
        <f t="shared" ca="1" si="699"/>
        <v>1.0625202461937153</v>
      </c>
      <c r="X406" s="87">
        <f t="shared" ca="1" si="699"/>
        <v>1.0736267296034059</v>
      </c>
      <c r="Y406" s="87">
        <f t="shared" ca="1" si="699"/>
        <v>1.0810310518765327</v>
      </c>
      <c r="Z406" s="87">
        <f t="shared" ca="1" si="699"/>
        <v>1.0884353741496595</v>
      </c>
      <c r="AA406" s="88">
        <f ca="1">Z406</f>
        <v>1.0884353741496595</v>
      </c>
      <c r="AB406" s="87">
        <f t="shared" ca="1" si="699"/>
        <v>1.0884353741496597</v>
      </c>
      <c r="AC406" s="87">
        <f t="shared" ca="1" si="699"/>
        <v>1.1065759637188208</v>
      </c>
      <c r="AD406" s="87">
        <f t="shared" ca="1" si="699"/>
        <v>1.1247165532879817</v>
      </c>
      <c r="AE406" s="87">
        <f t="shared" ca="1" si="699"/>
        <v>1.1428571428571428</v>
      </c>
      <c r="AF406" s="88">
        <f ca="1">AE406</f>
        <v>1.1428571428571428</v>
      </c>
      <c r="AG406" s="87">
        <f t="shared" ca="1" si="699"/>
        <v>1.1428571428571428</v>
      </c>
      <c r="AH406" s="87">
        <f t="shared" ca="1" si="699"/>
        <v>1.1714285714285713</v>
      </c>
      <c r="AI406" s="87">
        <f t="shared" ca="1" si="699"/>
        <v>1.1885714285714286</v>
      </c>
      <c r="AJ406" s="87">
        <f t="shared" ca="1" si="699"/>
        <v>1.2</v>
      </c>
      <c r="AK406" s="88">
        <f ca="1">AJ406</f>
        <v>1.2</v>
      </c>
      <c r="AL406" s="88">
        <f ca="1">AL402/AL405</f>
        <v>1.26</v>
      </c>
      <c r="AM406" s="88">
        <f ca="1">AM402/AM405</f>
        <v>1.3230000000000002</v>
      </c>
      <c r="AN406" s="88">
        <f t="shared" ref="AN406:AT406" ca="1" si="700">AN402/AN405</f>
        <v>1.3891500000000001</v>
      </c>
      <c r="AO406" s="88">
        <f t="shared" ca="1" si="700"/>
        <v>1.4586075000000005</v>
      </c>
      <c r="AP406" s="88">
        <f t="shared" ca="1" si="700"/>
        <v>1.5315378750000006</v>
      </c>
      <c r="AQ406" s="88">
        <f t="shared" ca="1" si="700"/>
        <v>1.6081147687500008</v>
      </c>
      <c r="AR406" s="88">
        <f t="shared" ca="1" si="700"/>
        <v>1.6885205071875007</v>
      </c>
      <c r="AS406" s="88">
        <f t="shared" ca="1" si="700"/>
        <v>1.7729465325468761</v>
      </c>
      <c r="AT406" s="88">
        <f t="shared" ca="1" si="700"/>
        <v>1.86159385917422</v>
      </c>
      <c r="AU406" s="8" t="s">
        <v>29</v>
      </c>
    </row>
    <row r="407" spans="2:47" ht="16.2" customHeight="1" x14ac:dyDescent="0.3">
      <c r="B407" s="24" t="s">
        <v>56</v>
      </c>
      <c r="G407" s="7"/>
      <c r="L407" s="7"/>
      <c r="M407" s="21">
        <f ca="1">M406/H406-1</f>
        <v>-0.21249999999999991</v>
      </c>
      <c r="N407" s="21">
        <f ca="1">N406/I406-1</f>
        <v>-0.20277777777777772</v>
      </c>
      <c r="O407" s="21">
        <f ca="1">O406/J406-1</f>
        <v>8.0882352941176627E-2</v>
      </c>
      <c r="P407" s="21">
        <f ca="1">P406/K406-1</f>
        <v>5.0000000000000044E-2</v>
      </c>
      <c r="Q407" s="14">
        <f ca="1">P407</f>
        <v>5.0000000000000044E-2</v>
      </c>
      <c r="R407" s="21">
        <f ca="1">R406/M406-1</f>
        <v>5.0000000000000044E-2</v>
      </c>
      <c r="S407" s="21">
        <f ca="1">S406/N406-1</f>
        <v>2.4390243902439046E-2</v>
      </c>
      <c r="T407" s="21">
        <f ca="1">T406/O406-1</f>
        <v>1.6666666666666829E-2</v>
      </c>
      <c r="U407" s="21">
        <f ca="1">U406/P406-1</f>
        <v>5.0000000000000044E-2</v>
      </c>
      <c r="V407" s="14">
        <f ca="1">U407</f>
        <v>5.0000000000000044E-2</v>
      </c>
      <c r="W407" s="21">
        <f ca="1">W406/R406-1</f>
        <v>7.6249999999999929E-2</v>
      </c>
      <c r="X407" s="21">
        <f ca="1">X406/S406-1</f>
        <v>8.7500000000000133E-2</v>
      </c>
      <c r="Y407" s="21">
        <f ca="1">Y406/T406-1</f>
        <v>7.7049180327868783E-2</v>
      </c>
      <c r="Z407" s="21">
        <f ca="1">Z406/U406-1</f>
        <v>4.9999999999999822E-2</v>
      </c>
      <c r="AA407" s="14">
        <f ca="1">Z407</f>
        <v>4.9999999999999822E-2</v>
      </c>
      <c r="AB407" s="21">
        <f ca="1">AB406/W406-1</f>
        <v>2.4390243902439046E-2</v>
      </c>
      <c r="AC407" s="21">
        <f ca="1">AC406/X406-1</f>
        <v>3.0689655172413843E-2</v>
      </c>
      <c r="AD407" s="21">
        <f ca="1">AD406/Y406-1</f>
        <v>4.0410958904109728E-2</v>
      </c>
      <c r="AE407" s="21">
        <f ca="1">AE406/Z406-1</f>
        <v>5.0000000000000266E-2</v>
      </c>
      <c r="AF407" s="14">
        <f ca="1">AE407</f>
        <v>5.0000000000000266E-2</v>
      </c>
      <c r="AG407" s="21">
        <f ca="1">AG406/AB406-1</f>
        <v>5.0000000000000044E-2</v>
      </c>
      <c r="AH407" s="21">
        <f ca="1">AH406/AC406-1</f>
        <v>5.8606557377049118E-2</v>
      </c>
      <c r="AI407" s="21">
        <f ca="1">AI406/AD406-1</f>
        <v>5.6774193548387197E-2</v>
      </c>
      <c r="AJ407" s="21">
        <f ca="1">AJ406/AE406-1</f>
        <v>5.0000000000000044E-2</v>
      </c>
      <c r="AK407" s="14">
        <f ca="1">AJ407</f>
        <v>5.0000000000000044E-2</v>
      </c>
      <c r="AL407" s="14">
        <f ca="1">AL406/AK406-1</f>
        <v>5.0000000000000044E-2</v>
      </c>
      <c r="AM407" s="14">
        <f ca="1">AM406/AL406-1</f>
        <v>5.0000000000000044E-2</v>
      </c>
      <c r="AN407" s="14">
        <f t="shared" ref="AN407:AT407" ca="1" si="701">AN406/AM406-1</f>
        <v>5.0000000000000044E-2</v>
      </c>
      <c r="AO407" s="14">
        <f t="shared" ca="1" si="701"/>
        <v>5.0000000000000266E-2</v>
      </c>
      <c r="AP407" s="14">
        <f t="shared" ca="1" si="701"/>
        <v>5.0000000000000044E-2</v>
      </c>
      <c r="AQ407" s="14">
        <f t="shared" ca="1" si="701"/>
        <v>5.0000000000000044E-2</v>
      </c>
      <c r="AR407" s="14">
        <f t="shared" ca="1" si="701"/>
        <v>4.9999999999999822E-2</v>
      </c>
      <c r="AS407" s="14">
        <f t="shared" ca="1" si="701"/>
        <v>5.0000000000000266E-2</v>
      </c>
      <c r="AT407" s="14">
        <f t="shared" ca="1" si="701"/>
        <v>5.0000000000000044E-2</v>
      </c>
      <c r="AU407" s="8" t="s">
        <v>29</v>
      </c>
    </row>
    <row r="408" spans="2:47" ht="7.95" customHeight="1" x14ac:dyDescent="0.3">
      <c r="B408" s="24"/>
      <c r="G408" s="7"/>
      <c r="L408" s="7"/>
      <c r="Q408" s="7"/>
      <c r="V408" s="7"/>
      <c r="AA408" s="7"/>
      <c r="AF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8" t="s">
        <v>29</v>
      </c>
    </row>
    <row r="409" spans="2:47" ht="16.2" customHeight="1" x14ac:dyDescent="0.3">
      <c r="B409" s="20" t="s">
        <v>231</v>
      </c>
      <c r="G409" s="7"/>
      <c r="H409" s="22">
        <f ca="1">SUM(D384:F384,H384)</f>
        <v>5.8561660961441877</v>
      </c>
      <c r="I409" s="22">
        <f ca="1">SUM(E384:F384,H384:I384)</f>
        <v>9.2903931723459916</v>
      </c>
      <c r="J409" s="22">
        <f ca="1">SUM(F384,H384:J384)</f>
        <v>10.62316177258384</v>
      </c>
      <c r="K409" s="22">
        <f t="shared" ref="K409:AJ409" ca="1" si="702">SUM(H384:K384)</f>
        <v>7.9385372004756993</v>
      </c>
      <c r="L409" s="23">
        <f ca="1">K409</f>
        <v>7.9385372004756993</v>
      </c>
      <c r="M409" s="22">
        <f ca="1">SUM(I384:K384,M384)</f>
        <v>11.4165372004757</v>
      </c>
      <c r="N409" s="22">
        <f ca="1">SUM(J384:K384,M384:N384)</f>
        <v>28.686525630487591</v>
      </c>
      <c r="O409" s="22">
        <f ca="1">SUM(K384,M384:O384)</f>
        <v>44.643757030249745</v>
      </c>
      <c r="P409" s="22">
        <f t="shared" ca="1" si="702"/>
        <v>45.630271090749225</v>
      </c>
      <c r="Q409" s="23">
        <f ca="1">P409</f>
        <v>45.630271090749225</v>
      </c>
      <c r="R409" s="22">
        <f ca="1">SUM(N384:P384,R384)</f>
        <v>46.37227109074923</v>
      </c>
      <c r="S409" s="22">
        <f ca="1">SUM(O384:P384,R384:S384)</f>
        <v>31.786514060499485</v>
      </c>
      <c r="T409" s="22">
        <f ca="1">SUM(P384,R384:T384)</f>
        <v>17.35290894226171</v>
      </c>
      <c r="U409" s="22">
        <f t="shared" ca="1" si="702"/>
        <v>18.007789763524457</v>
      </c>
      <c r="V409" s="23">
        <f ca="1">U409</f>
        <v>18.007789763524457</v>
      </c>
      <c r="W409" s="22">
        <f ca="1">SUM(S384:U384,W384)</f>
        <v>17.786919015225138</v>
      </c>
      <c r="X409" s="22">
        <f ca="1">SUM(T384:U384,W384:X384)</f>
        <v>17.788612892776158</v>
      </c>
      <c r="Y409" s="22">
        <f ca="1">SUM(U384,W384:Y384)</f>
        <v>22.977782636864269</v>
      </c>
      <c r="Z409" s="22">
        <f t="shared" ca="1" si="702"/>
        <v>27.643952380952381</v>
      </c>
      <c r="AA409" s="23">
        <f ca="1">Z409</f>
        <v>27.643952380952381</v>
      </c>
      <c r="AB409" s="22">
        <f ca="1">SUM(X384:Z384,AB384)</f>
        <v>29.652823129251701</v>
      </c>
      <c r="AC409" s="22">
        <f ca="1">SUM(Y384:Z384,AB384:AC384)</f>
        <v>29.48327210884354</v>
      </c>
      <c r="AD409" s="22">
        <f ca="1">SUM(Z384,AB384:AD384)</f>
        <v>25.820850340136058</v>
      </c>
      <c r="AE409" s="22">
        <f t="shared" ca="1" si="702"/>
        <v>26.045428571428573</v>
      </c>
      <c r="AF409" s="23">
        <f ca="1">AE409</f>
        <v>26.045428571428573</v>
      </c>
      <c r="AG409" s="22">
        <f ca="1">SUM(AC384:AE384,AG384)</f>
        <v>27.473428571428578</v>
      </c>
      <c r="AH409" s="22">
        <f ca="1">SUM(AD384:AE384,AG384:AH384)</f>
        <v>30.257812689442268</v>
      </c>
      <c r="AI409" s="22">
        <f ca="1">SUM(AE384,AG384:AI384)</f>
        <v>33.890014100688063</v>
      </c>
      <c r="AJ409" s="22">
        <f t="shared" ca="1" si="702"/>
        <v>34.72964182301066</v>
      </c>
      <c r="AK409" s="23">
        <f ca="1">AJ409</f>
        <v>34.72964182301066</v>
      </c>
      <c r="AL409" s="23">
        <f ca="1">AL384</f>
        <v>39.628925212318741</v>
      </c>
      <c r="AM409" s="23">
        <f ca="1">AM384</f>
        <v>45.072723406227823</v>
      </c>
      <c r="AN409" s="23">
        <f t="shared" ref="AN409:AT409" ca="1" si="703">AN384</f>
        <v>50.935810221606168</v>
      </c>
      <c r="AO409" s="23">
        <f t="shared" ca="1" si="703"/>
        <v>57.244993070236212</v>
      </c>
      <c r="AP409" s="23">
        <f t="shared" ca="1" si="703"/>
        <v>64.028638964456078</v>
      </c>
      <c r="AQ409" s="23">
        <f t="shared" ca="1" si="703"/>
        <v>71.316760376767832</v>
      </c>
      <c r="AR409" s="23">
        <f t="shared" ca="1" si="703"/>
        <v>79.141105675912698</v>
      </c>
      <c r="AS409" s="23">
        <f t="shared" ca="1" si="703"/>
        <v>87.53525437976451</v>
      </c>
      <c r="AT409" s="23">
        <f t="shared" ca="1" si="703"/>
        <v>96.534717478042708</v>
      </c>
      <c r="AU409" s="8" t="s">
        <v>29</v>
      </c>
    </row>
    <row r="410" spans="2:47" ht="16.2" customHeight="1" x14ac:dyDescent="0.3">
      <c r="B410" s="24" t="s">
        <v>171</v>
      </c>
      <c r="G410" s="7"/>
      <c r="H410" s="21">
        <f ca="1">H409/SUM(D$16:F$16,H$16)</f>
        <v>2.130300988166034E-2</v>
      </c>
      <c r="I410" s="21">
        <f ca="1">I409/SUM(E$16:F$16,H$16:I$16)</f>
        <v>2.6858258197784854E-2</v>
      </c>
      <c r="J410" s="21">
        <f ca="1">J409/SUM(F$16,H$16:J$16)</f>
        <v>2.626780650123537E-2</v>
      </c>
      <c r="K410" s="21">
        <f t="shared" ref="K410" ca="1" si="704">K409/SUM(H$16:K$16)</f>
        <v>1.8266650198230171E-2</v>
      </c>
      <c r="L410" s="14">
        <f ca="1">K410</f>
        <v>1.8266650198230171E-2</v>
      </c>
      <c r="M410" s="21">
        <f ca="1">M409/SUM(I$16:K$16,M$16)</f>
        <v>2.3617025288467694E-2</v>
      </c>
      <c r="N410" s="21">
        <f ca="1">N409/SUM(J$16:K$16,M$16:N$16)</f>
        <v>5.5123267381529388E-2</v>
      </c>
      <c r="O410" s="21">
        <f ca="1">O409/SUM(K$16,M$16:O$16)</f>
        <v>8.3638121776727012E-2</v>
      </c>
      <c r="P410" s="21">
        <f t="shared" ref="P410" ca="1" si="705">P409/SUM(M$16:P$16)</f>
        <v>8.0416250032161407E-2</v>
      </c>
      <c r="Q410" s="14">
        <f ca="1">P410</f>
        <v>8.0416250032161407E-2</v>
      </c>
      <c r="R410" s="21">
        <f ca="1">R409/SUM(N$16:P$16,R$16)</f>
        <v>7.7728617029308514E-2</v>
      </c>
      <c r="S410" s="21">
        <f ca="1">S409/SUM(O$16:P$16,R$16:S$16)</f>
        <v>5.1192246085102915E-2</v>
      </c>
      <c r="T410" s="21">
        <f ca="1">T409/SUM(P$16,R$16:T$16)</f>
        <v>2.6818285806082236E-2</v>
      </c>
      <c r="U410" s="21">
        <f t="shared" ref="U410" ca="1" si="706">U409/SUM(R$16:U$16)</f>
        <v>2.6339110996909658E-2</v>
      </c>
      <c r="V410" s="14">
        <f ca="1">U410</f>
        <v>2.6339110996909658E-2</v>
      </c>
      <c r="W410" s="21">
        <f ca="1">W409/SUM(S$16:U$16,W$16)</f>
        <v>2.5260805404968445E-2</v>
      </c>
      <c r="X410" s="21">
        <f ca="1">X409/SUM(T$16:U$16,W$16:X$16)</f>
        <v>2.4027051108761372E-2</v>
      </c>
      <c r="Y410" s="21">
        <f ca="1">Y409/SUM(U$16,W$16:Y$16)</f>
        <v>2.9443030486169884E-2</v>
      </c>
      <c r="Z410" s="21">
        <f t="shared" ref="Z410" ca="1" si="707">Z409/SUM(W$16:Z$16)</f>
        <v>3.3235531423107388E-2</v>
      </c>
      <c r="AA410" s="14">
        <f ca="1">Z410</f>
        <v>3.3235531423107388E-2</v>
      </c>
      <c r="AB410" s="21">
        <f ca="1">AB409/SUM(X16:Z16,AB16)</f>
        <v>3.3604207468661766E-2</v>
      </c>
      <c r="AC410" s="21">
        <f ca="1">AC409/SUM(Y16:Z16,AB16:AC16)</f>
        <v>3.1617348264663531E-2</v>
      </c>
      <c r="AD410" s="21">
        <f ca="1">AD409/SUM(Z16,AB16:AD16)</f>
        <v>2.5906419242895343E-2</v>
      </c>
      <c r="AE410" s="21">
        <f t="shared" ref="AE410" ca="1" si="708">AE409/SUM(AB$16:AE$16)</f>
        <v>2.4887845119242372E-2</v>
      </c>
      <c r="AF410" s="14">
        <f ca="1">AE410</f>
        <v>2.4887845119242372E-2</v>
      </c>
      <c r="AG410" s="21">
        <f ca="1">AG409/SUM(AC16:AE16,AG16)</f>
        <v>2.5323839757456629E-2</v>
      </c>
      <c r="AH410" s="21">
        <f ca="1">AH409/SUM(AD16:AE16,AG16:AH16)</f>
        <v>2.742381319966564E-2</v>
      </c>
      <c r="AI410" s="21">
        <f ca="1">AI409/SUM(AE16,AG16:AI16)</f>
        <v>3.0534004218701945E-2</v>
      </c>
      <c r="AJ410" s="21">
        <f t="shared" ref="AJ410" ca="1" si="709">AJ409/SUM(AG$16:AJ$16)</f>
        <v>3.0088629468302822E-2</v>
      </c>
      <c r="AK410" s="14">
        <f ca="1">AJ410</f>
        <v>3.0088629468302822E-2</v>
      </c>
      <c r="AL410" s="14">
        <f t="shared" ref="AL410:AT410" ca="1" si="710">AL409/AL16</f>
        <v>3.0088629468302822E-2</v>
      </c>
      <c r="AM410" s="14">
        <f t="shared" ca="1" si="710"/>
        <v>3.0088629468302822E-2</v>
      </c>
      <c r="AN410" s="14">
        <f t="shared" ca="1" si="710"/>
        <v>3.0088629468302822E-2</v>
      </c>
      <c r="AO410" s="14">
        <f t="shared" ca="1" si="710"/>
        <v>3.0088629468302822E-2</v>
      </c>
      <c r="AP410" s="14">
        <f t="shared" ca="1" si="710"/>
        <v>3.0088629468302819E-2</v>
      </c>
      <c r="AQ410" s="14">
        <f t="shared" ca="1" si="710"/>
        <v>3.0088629468302819E-2</v>
      </c>
      <c r="AR410" s="14">
        <f t="shared" ca="1" si="710"/>
        <v>3.0088629468302822E-2</v>
      </c>
      <c r="AS410" s="14">
        <f t="shared" ca="1" si="710"/>
        <v>3.0088629468302822E-2</v>
      </c>
      <c r="AT410" s="14">
        <f t="shared" ca="1" si="710"/>
        <v>3.0088629468302822E-2</v>
      </c>
      <c r="AU410" s="8" t="s">
        <v>29</v>
      </c>
    </row>
    <row r="411" spans="2:47" ht="7.95" customHeight="1" x14ac:dyDescent="0.3">
      <c r="G411" s="7"/>
      <c r="L411" s="7"/>
      <c r="Q411" s="7"/>
      <c r="V411" s="7"/>
      <c r="AA411" s="7"/>
      <c r="AF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8" t="s">
        <v>29</v>
      </c>
    </row>
    <row r="412" spans="2:47" ht="16.2" customHeight="1" x14ac:dyDescent="0.3">
      <c r="B412" s="24" t="s">
        <v>232</v>
      </c>
      <c r="G412" s="7"/>
      <c r="H412" s="22">
        <f>SUM(D387:F387,H387)</f>
        <v>-8.6579999999999995</v>
      </c>
      <c r="I412" s="22">
        <f>SUM(E387:F387,H387:I387)</f>
        <v>-4.3960000000000008</v>
      </c>
      <c r="J412" s="22">
        <f>SUM(F387,H387:J387)</f>
        <v>-5.6630000000000003</v>
      </c>
      <c r="K412" s="22">
        <f t="shared" ref="K412:AJ412" si="711">SUM(H387:K387)</f>
        <v>1.5740000000000003</v>
      </c>
      <c r="L412" s="23">
        <f>K412</f>
        <v>1.5740000000000003</v>
      </c>
      <c r="M412" s="22">
        <f>SUM(I387:K387,M387)</f>
        <v>-0.52099999999999991</v>
      </c>
      <c r="N412" s="22">
        <f>SUM(J387:K387,M387:N387)</f>
        <v>-14.994</v>
      </c>
      <c r="O412" s="22">
        <f>SUM(K387,M387:O387)</f>
        <v>-23.811999999999998</v>
      </c>
      <c r="P412" s="22">
        <f t="shared" si="711"/>
        <v>-23.738</v>
      </c>
      <c r="Q412" s="23">
        <f>P412</f>
        <v>-23.738</v>
      </c>
      <c r="R412" s="22">
        <f>SUM(N387:P387,R387)</f>
        <v>-24.553999999999998</v>
      </c>
      <c r="S412" s="22">
        <f>SUM(O387:P387,R387:S387)</f>
        <v>-15.539000000000001</v>
      </c>
      <c r="T412" s="22">
        <f>SUM(P387,R387:T387)</f>
        <v>-6.8100000000000005</v>
      </c>
      <c r="U412" s="22">
        <f t="shared" si="711"/>
        <v>-7.3490000000000002</v>
      </c>
      <c r="V412" s="23">
        <f>U412</f>
        <v>-7.3490000000000002</v>
      </c>
      <c r="W412" s="22">
        <f>SUM(S387:U387,W387)</f>
        <v>-7.98</v>
      </c>
      <c r="X412" s="22">
        <f>SUM(T387:U387,W387:X387)</f>
        <v>-8.6890000000000001</v>
      </c>
      <c r="Y412" s="22">
        <f>SUM(U387,W387:Y387)</f>
        <v>-9.6859999999999999</v>
      </c>
      <c r="Z412" s="22">
        <f t="shared" si="711"/>
        <v>-10.974</v>
      </c>
      <c r="AA412" s="23">
        <f>Z412</f>
        <v>-10.974</v>
      </c>
      <c r="AB412" s="22">
        <f>SUM(X387:Z387,AB387)</f>
        <v>-11.171000000000001</v>
      </c>
      <c r="AC412" s="22">
        <f>SUM(Y387:Z387,AB387:AC387)</f>
        <v>-11.566000000000001</v>
      </c>
      <c r="AD412" s="22">
        <f>SUM(Z387,AB387:AD387)</f>
        <v>-11.805</v>
      </c>
      <c r="AE412" s="22">
        <f t="shared" si="711"/>
        <v>-11.923000000000002</v>
      </c>
      <c r="AF412" s="23">
        <f>AE412</f>
        <v>-11.923000000000002</v>
      </c>
      <c r="AG412" s="22">
        <f>SUM(AC387:AE387,AG387)</f>
        <v>-13.129</v>
      </c>
      <c r="AH412" s="22">
        <f>SUM(AD387:AE387,AG387:AH387)</f>
        <v>-14.08576912080057</v>
      </c>
      <c r="AI412" s="22">
        <f ca="1">SUM(AE387,AG387:AI387)</f>
        <v>-15.12739767219097</v>
      </c>
      <c r="AJ412" s="22">
        <f t="shared" ca="1" si="711"/>
        <v>-16.121235979439156</v>
      </c>
      <c r="AK412" s="23">
        <f ca="1">AJ412</f>
        <v>-16.121235979439156</v>
      </c>
      <c r="AL412" s="23">
        <f ca="1">AL387</f>
        <v>-20.557814610120133</v>
      </c>
      <c r="AM412" s="23">
        <f ca="1">AM387</f>
        <v>-25.138126969828964</v>
      </c>
      <c r="AN412" s="23">
        <f t="shared" ref="AN412:AT412" ca="1" si="712">AN387</f>
        <v>-29.931963767017375</v>
      </c>
      <c r="AO412" s="23">
        <f t="shared" ca="1" si="712"/>
        <v>-34.97796522792612</v>
      </c>
      <c r="AP412" s="23">
        <f t="shared" ca="1" si="712"/>
        <v>-40.312898972284053</v>
      </c>
      <c r="AQ412" s="23">
        <f t="shared" ca="1" si="712"/>
        <v>-45.972258448741329</v>
      </c>
      <c r="AR412" s="23">
        <f t="shared" ca="1" si="712"/>
        <v>-51.990773618183312</v>
      </c>
      <c r="AS412" s="23">
        <f t="shared" ca="1" si="712"/>
        <v>-58.402849784930766</v>
      </c>
      <c r="AT412" s="23">
        <f t="shared" ca="1" si="712"/>
        <v>-65.242947783527967</v>
      </c>
      <c r="AU412" s="8" t="s">
        <v>29</v>
      </c>
    </row>
    <row r="413" spans="2:47" ht="16.2" customHeight="1" x14ac:dyDescent="0.3">
      <c r="B413" s="86" t="s">
        <v>171</v>
      </c>
      <c r="G413" s="7"/>
      <c r="H413" s="21">
        <f>H412/SUM(D$16:F$16,H$16)</f>
        <v>-3.1495257567379281E-2</v>
      </c>
      <c r="I413" s="21">
        <f>I412/SUM(E$16:F$16,H$16:I$16)</f>
        <v>-1.270870896927258E-2</v>
      </c>
      <c r="J413" s="21">
        <f>J412/SUM(F$16,H$16:J$16)</f>
        <v>-1.4002854460938399E-2</v>
      </c>
      <c r="K413" s="21">
        <f t="shared" ref="K413:AJ413" si="713">K412/SUM(H$16:K$16)</f>
        <v>3.6217890885856668E-3</v>
      </c>
      <c r="L413" s="14">
        <f>K413</f>
        <v>3.6217890885856668E-3</v>
      </c>
      <c r="M413" s="21">
        <f>M412/SUM(I$16:K$16,M$16)</f>
        <v>-1.0777760330670993E-3</v>
      </c>
      <c r="N413" s="21">
        <f>N412/SUM(J$16:K$16,M$16:N$16)</f>
        <v>-2.8812073018708161E-2</v>
      </c>
      <c r="O413" s="21">
        <f>O412/SUM(K$16,M$16:O$16)</f>
        <v>-4.4610738168787183E-2</v>
      </c>
      <c r="P413" s="21">
        <f t="shared" si="713"/>
        <v>-4.1834529965140824E-2</v>
      </c>
      <c r="Q413" s="14">
        <f>P413</f>
        <v>-4.1834529965140824E-2</v>
      </c>
      <c r="R413" s="21">
        <f>R412/SUM(N$16:P$16,R$16)</f>
        <v>-4.1157105693673389E-2</v>
      </c>
      <c r="S413" s="21">
        <f>S412/SUM(O$16:P$16,R$16:S$16)</f>
        <v>-2.5025591368791775E-2</v>
      </c>
      <c r="T413" s="21">
        <f>T412/SUM(P$16,R$16:T$16)</f>
        <v>-1.0524605813762567E-2</v>
      </c>
      <c r="U413" s="21">
        <f t="shared" si="713"/>
        <v>-1.074902190986067E-2</v>
      </c>
      <c r="V413" s="14">
        <f>U413</f>
        <v>-1.074902190986067E-2</v>
      </c>
      <c r="W413" s="21">
        <f>W412/SUM(S$16:U$16,W$16)</f>
        <v>-1.1333116598726286E-2</v>
      </c>
      <c r="X413" s="21">
        <f>X412/SUM(T$16:U$16,W$16:X$16)</f>
        <v>-1.1736218464161877E-2</v>
      </c>
      <c r="Y413" s="21">
        <f>Y412/SUM(U$16,W$16:Y$16)</f>
        <v>-1.241134524579871E-2</v>
      </c>
      <c r="Z413" s="21">
        <f t="shared" si="713"/>
        <v>-1.3193725586377785E-2</v>
      </c>
      <c r="AA413" s="14">
        <f>Z413</f>
        <v>-1.3193725586377785E-2</v>
      </c>
      <c r="AB413" s="21">
        <f>AB412/SUM(X16:Z16,AB16)</f>
        <v>-1.2659590622995556E-2</v>
      </c>
      <c r="AC413" s="21">
        <f>AC412/SUM(Y16:Z16,AB16:AC16)</f>
        <v>-1.2403177255193817E-2</v>
      </c>
      <c r="AD413" s="21">
        <f>AD412/SUM(Z16,AB16:AD16)</f>
        <v>-1.1844121132099324E-2</v>
      </c>
      <c r="AE413" s="21">
        <f t="shared" si="713"/>
        <v>-1.1393084838014282E-2</v>
      </c>
      <c r="AF413" s="14">
        <f>AE413</f>
        <v>-1.1393084838014282E-2</v>
      </c>
      <c r="AG413" s="21">
        <f>AG412/SUM(AC16:AE16,AG16)</f>
        <v>-1.2101754657640816E-2</v>
      </c>
      <c r="AH413" s="21">
        <f>AH412/SUM(AD16:AE16,AG16:AH16)</f>
        <v>-1.2766471426972589E-2</v>
      </c>
      <c r="AI413" s="21">
        <f ca="1">AI412/SUM(AE16,AG16:AI16)</f>
        <v>-1.362938424777118E-2</v>
      </c>
      <c r="AJ413" s="21">
        <f t="shared" ca="1" si="713"/>
        <v>-1.3966913290623943E-2</v>
      </c>
      <c r="AK413" s="14">
        <f ca="1">AJ413</f>
        <v>-1.3966913290623943E-2</v>
      </c>
      <c r="AL413" s="14">
        <f t="shared" ref="AL413:AT413" ca="1" si="714">AL412/AL16</f>
        <v>-1.5608711646050074E-2</v>
      </c>
      <c r="AM413" s="14">
        <f t="shared" ca="1" si="714"/>
        <v>-1.6781142357548861E-2</v>
      </c>
      <c r="AN413" s="14">
        <f t="shared" ca="1" si="714"/>
        <v>-1.7681308359014304E-2</v>
      </c>
      <c r="AO413" s="14">
        <f t="shared" ca="1" si="714"/>
        <v>-1.8384822477084922E-2</v>
      </c>
      <c r="AP413" s="14">
        <f t="shared" ca="1" si="714"/>
        <v>-1.8944020981666115E-2</v>
      </c>
      <c r="AQ413" s="14">
        <f t="shared" ca="1" si="714"/>
        <v>-1.939575273719019E-2</v>
      </c>
      <c r="AR413" s="14">
        <f t="shared" ca="1" si="714"/>
        <v>-1.976635415701615E-2</v>
      </c>
      <c r="AS413" s="14">
        <f t="shared" ca="1" si="714"/>
        <v>-2.0074902615213698E-2</v>
      </c>
      <c r="AT413" s="14">
        <f t="shared" ca="1" si="714"/>
        <v>-2.0335387439497213E-2</v>
      </c>
      <c r="AU413" s="8" t="s">
        <v>29</v>
      </c>
    </row>
    <row r="414" spans="2:47" ht="16.2" customHeight="1" x14ac:dyDescent="0.3">
      <c r="B414" s="24" t="s">
        <v>233</v>
      </c>
      <c r="G414" s="7"/>
      <c r="H414" s="22">
        <f ca="1">H412+H409</f>
        <v>-2.8018339038558118</v>
      </c>
      <c r="I414" s="22">
        <f t="shared" ref="I414:AJ414" ca="1" si="715">I412+I409</f>
        <v>4.8943931723459908</v>
      </c>
      <c r="J414" s="22">
        <f t="shared" ca="1" si="715"/>
        <v>4.9601617725838398</v>
      </c>
      <c r="K414" s="22">
        <f t="shared" ca="1" si="715"/>
        <v>9.5125372004757001</v>
      </c>
      <c r="L414" s="23">
        <f ca="1">K414</f>
        <v>9.5125372004757001</v>
      </c>
      <c r="M414" s="22">
        <f t="shared" ca="1" si="715"/>
        <v>10.895537200475701</v>
      </c>
      <c r="N414" s="22">
        <f t="shared" ca="1" si="715"/>
        <v>13.692525630487591</v>
      </c>
      <c r="O414" s="22">
        <f t="shared" ca="1" si="715"/>
        <v>20.831757030249747</v>
      </c>
      <c r="P414" s="22">
        <f t="shared" ca="1" si="715"/>
        <v>21.892271090749226</v>
      </c>
      <c r="Q414" s="23">
        <f ca="1">P414</f>
        <v>21.892271090749226</v>
      </c>
      <c r="R414" s="22">
        <f t="shared" ca="1" si="715"/>
        <v>21.818271090749231</v>
      </c>
      <c r="S414" s="22">
        <f t="shared" ca="1" si="715"/>
        <v>16.247514060499483</v>
      </c>
      <c r="T414" s="22">
        <f t="shared" ca="1" si="715"/>
        <v>10.542908942261709</v>
      </c>
      <c r="U414" s="22">
        <f t="shared" ca="1" si="715"/>
        <v>10.658789763524457</v>
      </c>
      <c r="V414" s="23">
        <f ca="1">U414</f>
        <v>10.658789763524457</v>
      </c>
      <c r="W414" s="22">
        <f t="shared" ca="1" si="715"/>
        <v>9.8069190152251373</v>
      </c>
      <c r="X414" s="22">
        <f t="shared" ca="1" si="715"/>
        <v>9.0996128927761575</v>
      </c>
      <c r="Y414" s="22">
        <f t="shared" ca="1" si="715"/>
        <v>13.291782636864269</v>
      </c>
      <c r="Z414" s="22">
        <f t="shared" ca="1" si="715"/>
        <v>16.669952380952381</v>
      </c>
      <c r="AA414" s="23">
        <f ca="1">Z414</f>
        <v>16.669952380952381</v>
      </c>
      <c r="AB414" s="22">
        <f t="shared" ca="1" si="715"/>
        <v>18.481823129251701</v>
      </c>
      <c r="AC414" s="22">
        <f t="shared" ca="1" si="715"/>
        <v>17.917272108843541</v>
      </c>
      <c r="AD414" s="22">
        <f t="shared" ca="1" si="715"/>
        <v>14.015850340136058</v>
      </c>
      <c r="AE414" s="22">
        <f t="shared" ca="1" si="715"/>
        <v>14.122428571428571</v>
      </c>
      <c r="AF414" s="23">
        <f ca="1">AE414</f>
        <v>14.122428571428571</v>
      </c>
      <c r="AG414" s="22">
        <f t="shared" ca="1" si="715"/>
        <v>14.344428571428578</v>
      </c>
      <c r="AH414" s="22">
        <f t="shared" ca="1" si="715"/>
        <v>16.172043568641698</v>
      </c>
      <c r="AI414" s="22">
        <f t="shared" ca="1" si="715"/>
        <v>18.762616428497093</v>
      </c>
      <c r="AJ414" s="22">
        <f t="shared" ca="1" si="715"/>
        <v>18.608405843571504</v>
      </c>
      <c r="AK414" s="23">
        <f ca="1">AJ414</f>
        <v>18.608405843571504</v>
      </c>
      <c r="AL414" s="23">
        <f ca="1">AL412+AL409</f>
        <v>19.071110602198608</v>
      </c>
      <c r="AM414" s="23">
        <f ca="1">AM412+AM409</f>
        <v>19.934596436398859</v>
      </c>
      <c r="AN414" s="23">
        <f t="shared" ref="AN414:AT414" ca="1" si="716">AN412+AN409</f>
        <v>21.003846454588793</v>
      </c>
      <c r="AO414" s="23">
        <f t="shared" ca="1" si="716"/>
        <v>22.267027842310092</v>
      </c>
      <c r="AP414" s="23">
        <f t="shared" ca="1" si="716"/>
        <v>23.715739992172026</v>
      </c>
      <c r="AQ414" s="23">
        <f t="shared" ca="1" si="716"/>
        <v>25.344501928026503</v>
      </c>
      <c r="AR414" s="23">
        <f t="shared" ca="1" si="716"/>
        <v>27.150332057729386</v>
      </c>
      <c r="AS414" s="23">
        <f t="shared" ca="1" si="716"/>
        <v>29.132404594833744</v>
      </c>
      <c r="AT414" s="23">
        <f t="shared" ca="1" si="716"/>
        <v>31.291769694514741</v>
      </c>
      <c r="AU414" s="8" t="s">
        <v>29</v>
      </c>
    </row>
    <row r="415" spans="2:47" ht="7.95" customHeight="1" x14ac:dyDescent="0.3">
      <c r="B415" s="24"/>
      <c r="G415" s="7"/>
      <c r="L415" s="7"/>
      <c r="Q415" s="7"/>
      <c r="V415" s="7"/>
      <c r="AA415" s="7"/>
      <c r="AF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8" t="s">
        <v>29</v>
      </c>
    </row>
    <row r="416" spans="2:47" ht="16.2" customHeight="1" x14ac:dyDescent="0.3">
      <c r="B416" s="5" t="s">
        <v>234</v>
      </c>
      <c r="G416" s="7"/>
      <c r="H416" s="28">
        <f>SUM(D391:F391,H391)</f>
        <v>0.63300000000000001</v>
      </c>
      <c r="I416" s="28">
        <f>SUM(E391:F391,H391:I391)</f>
        <v>1.3959999999999999</v>
      </c>
      <c r="J416" s="28">
        <f>SUM(F391,H391:J391)</f>
        <v>2.6709999999999998</v>
      </c>
      <c r="K416" s="28">
        <f t="shared" ref="K416:AJ416" si="717">SUM(H391:K391)</f>
        <v>3.8409999999999997</v>
      </c>
      <c r="L416" s="29">
        <f>K416</f>
        <v>3.8409999999999997</v>
      </c>
      <c r="M416" s="28">
        <f>SUM(I391:K391,M391)</f>
        <v>4.758</v>
      </c>
      <c r="N416" s="28">
        <f>SUM(J391:K391,M391:N391)</f>
        <v>5.3049999999999997</v>
      </c>
      <c r="O416" s="28">
        <f>SUM(K391,M391:O391)</f>
        <v>7.02</v>
      </c>
      <c r="P416" s="28">
        <f t="shared" si="717"/>
        <v>7.9489999999999998</v>
      </c>
      <c r="Q416" s="29">
        <f>P416</f>
        <v>7.9489999999999998</v>
      </c>
      <c r="R416" s="28">
        <f>SUM(N391:P391,R391)</f>
        <v>9.5069999999999997</v>
      </c>
      <c r="S416" s="28">
        <f>SUM(O391:P391,R391:S391)</f>
        <v>10.699</v>
      </c>
      <c r="T416" s="28">
        <f>SUM(P391,R391:T391)</f>
        <v>13.904</v>
      </c>
      <c r="U416" s="28">
        <f t="shared" si="717"/>
        <v>13.632</v>
      </c>
      <c r="V416" s="29">
        <f>U416</f>
        <v>13.632</v>
      </c>
      <c r="W416" s="28">
        <f>SUM(S391:U391,W391)</f>
        <v>15.739999999999998</v>
      </c>
      <c r="X416" s="28">
        <f>SUM(T391:U391,W391:X391)</f>
        <v>14.678000000000001</v>
      </c>
      <c r="Y416" s="28">
        <f>SUM(U391,W391:Y391)</f>
        <v>11.370000000000001</v>
      </c>
      <c r="Z416" s="28">
        <f t="shared" si="717"/>
        <v>9.9179999999999993</v>
      </c>
      <c r="AA416" s="29">
        <f>Z416</f>
        <v>9.9179999999999993</v>
      </c>
      <c r="AB416" s="28">
        <f>SUM(X391:Z391,AB391)</f>
        <v>7.7050000000000001</v>
      </c>
      <c r="AC416" s="28">
        <f>SUM(Y391:Z391,AB391:AC391)</f>
        <v>11.821</v>
      </c>
      <c r="AD416" s="28">
        <f>SUM(Z391,AB391:AD391)</f>
        <v>12.943999999999999</v>
      </c>
      <c r="AE416" s="28">
        <f t="shared" si="717"/>
        <v>16.632999999999999</v>
      </c>
      <c r="AF416" s="29">
        <f>AE416</f>
        <v>16.632999999999999</v>
      </c>
      <c r="AG416" s="28">
        <f>SUM(AC391:AE391,AG391)</f>
        <v>17.808</v>
      </c>
      <c r="AH416" s="28">
        <f>SUM(AD391:AE391,AG391:AH391)</f>
        <v>14.829478253310004</v>
      </c>
      <c r="AI416" s="28">
        <f>SUM(AE391,AG391:AI391)</f>
        <v>13.538465724211099</v>
      </c>
      <c r="AJ416" s="28">
        <f t="shared" si="717"/>
        <v>13.00086724227036</v>
      </c>
      <c r="AK416" s="29">
        <f>AJ416</f>
        <v>13.00086724227036</v>
      </c>
      <c r="AL416" s="29">
        <f>AL391</f>
        <v>14.834889408443484</v>
      </c>
      <c r="AM416" s="29">
        <f>AM391</f>
        <v>16.87274796089854</v>
      </c>
      <c r="AN416" s="29">
        <f t="shared" ref="AN416:AT416" si="718">AN391</f>
        <v>19.067565106007574</v>
      </c>
      <c r="AO416" s="29">
        <f t="shared" si="718"/>
        <v>21.429376063928295</v>
      </c>
      <c r="AP416" s="29">
        <f t="shared" si="718"/>
        <v>23.968799883464815</v>
      </c>
      <c r="AQ416" s="29">
        <f t="shared" si="718"/>
        <v>26.697071583181387</v>
      </c>
      <c r="AR416" s="29">
        <f t="shared" si="718"/>
        <v>29.626076005693633</v>
      </c>
      <c r="AS416" s="29">
        <f t="shared" si="718"/>
        <v>32.768383475111492</v>
      </c>
      <c r="AT416" s="29">
        <f t="shared" si="718"/>
        <v>36.137287352343684</v>
      </c>
      <c r="AU416" s="8" t="s">
        <v>29</v>
      </c>
    </row>
    <row r="417" spans="1:47" ht="16.2" customHeight="1" x14ac:dyDescent="0.3">
      <c r="B417" s="20" t="s">
        <v>171</v>
      </c>
      <c r="G417" s="7"/>
      <c r="H417" s="21">
        <f>H416/SUM(D$16:F$16,H$16)</f>
        <v>2.3026678263052768E-3</v>
      </c>
      <c r="I417" s="21">
        <f>I416/SUM(E$16:F$16,H$16:I$16)</f>
        <v>4.0357956599418824E-3</v>
      </c>
      <c r="J417" s="21">
        <f>J416/SUM(F$16,H$16:J$16)</f>
        <v>6.6045601739654711E-3</v>
      </c>
      <c r="K417" s="21">
        <f t="shared" ref="K417" si="719">K416/SUM(H$16:K$16)</f>
        <v>8.8381778203669263E-3</v>
      </c>
      <c r="L417" s="14">
        <f>K417</f>
        <v>8.8381778203669263E-3</v>
      </c>
      <c r="M417" s="21">
        <f>M416/SUM(I$16:K$16,M$16)</f>
        <v>9.8427223902749703E-3</v>
      </c>
      <c r="N417" s="21">
        <f>N416/SUM(J$16:K$16,M$16:N$16)</f>
        <v>1.0193947403244417E-2</v>
      </c>
      <c r="O417" s="21">
        <f>O416/SUM(K$16,M$16:O$16)</f>
        <v>1.3151662268809258E-2</v>
      </c>
      <c r="P417" s="21">
        <f t="shared" ref="P417" si="720">P416/SUM(M$16:P$16)</f>
        <v>1.4008875166100953E-2</v>
      </c>
      <c r="Q417" s="14">
        <f>P417</f>
        <v>1.4008875166100953E-2</v>
      </c>
      <c r="R417" s="21">
        <f>R416/SUM(N$16:P$16,R$16)</f>
        <v>1.5935513717917769E-2</v>
      </c>
      <c r="S417" s="21">
        <f>S416/SUM(O$16:P$16,R$16:S$16)</f>
        <v>1.7230761442480414E-2</v>
      </c>
      <c r="T417" s="21">
        <f>T416/SUM(P$16,R$16:T$16)</f>
        <v>2.1488123235617433E-2</v>
      </c>
      <c r="U417" s="21">
        <f t="shared" ref="U417" si="721">U416/SUM(R$16:U$16)</f>
        <v>1.9938857895662083E-2</v>
      </c>
      <c r="V417" s="14">
        <f>U417</f>
        <v>1.9938857895662083E-2</v>
      </c>
      <c r="W417" s="21">
        <f>W416/SUM(S$16:U$16,W$16)</f>
        <v>2.2353791386460115E-2</v>
      </c>
      <c r="X417" s="21">
        <f>X416/SUM(T$16:U$16,W$16:X$16)</f>
        <v>1.9825551227640469E-2</v>
      </c>
      <c r="Y417" s="21">
        <f>Y416/SUM(U$16,W$16:Y$16)</f>
        <v>1.4569171530531834E-2</v>
      </c>
      <c r="Z417" s="21">
        <f t="shared" ref="Z417" si="722">Z416/SUM(W$16:Z$16)</f>
        <v>1.1924127060843344E-2</v>
      </c>
      <c r="AA417" s="14">
        <f>Z417</f>
        <v>1.1924127060843344E-2</v>
      </c>
      <c r="AB417" s="21">
        <f>AB416/SUM(X16:Z16,AB16)</f>
        <v>8.7317290976797746E-3</v>
      </c>
      <c r="AC417" s="21">
        <f>AC416/SUM(Y16:Z16,AB16:AC16)</f>
        <v>1.2676634820477789E-2</v>
      </c>
      <c r="AD417" s="21">
        <f>AD416/SUM(Z16,AB16:AD16)</f>
        <v>1.2986895716551769E-2</v>
      </c>
      <c r="AE417" s="21">
        <f t="shared" ref="AE417" si="723">AE416/SUM(AB$16:AE$16)</f>
        <v>1.589374990444448E-2</v>
      </c>
      <c r="AF417" s="14">
        <f>AE417</f>
        <v>1.589374990444448E-2</v>
      </c>
      <c r="AG417" s="21">
        <f>AG416/SUM(AC16:AE16,AG16)</f>
        <v>1.6414658157001116E-2</v>
      </c>
      <c r="AH417" s="21">
        <f>AH416/SUM(AD16:AE16,AG16:AH16)</f>
        <v>1.3440523465504129E-2</v>
      </c>
      <c r="AI417" s="21">
        <f>AI416/SUM(AE16,AG16:AI16)</f>
        <v>1.2197798688122131E-2</v>
      </c>
      <c r="AJ417" s="21">
        <f t="shared" ref="AJ417" si="724">AJ416/SUM(AG$16:AJ$16)</f>
        <v>1.1263527542633267E-2</v>
      </c>
      <c r="AK417" s="14">
        <f>AJ417</f>
        <v>1.1263527542633267E-2</v>
      </c>
      <c r="AL417" s="14">
        <f t="shared" ref="AL417:AT417" si="725">AL416/AL16</f>
        <v>1.1263527542633267E-2</v>
      </c>
      <c r="AM417" s="14">
        <f t="shared" si="725"/>
        <v>1.1263527542633265E-2</v>
      </c>
      <c r="AN417" s="14">
        <f t="shared" si="725"/>
        <v>1.1263527542633267E-2</v>
      </c>
      <c r="AO417" s="14">
        <f t="shared" si="725"/>
        <v>1.1263527542633267E-2</v>
      </c>
      <c r="AP417" s="14">
        <f t="shared" si="725"/>
        <v>1.1263527542633267E-2</v>
      </c>
      <c r="AQ417" s="14">
        <f t="shared" si="725"/>
        <v>1.1263527542633267E-2</v>
      </c>
      <c r="AR417" s="14">
        <f t="shared" si="725"/>
        <v>1.1263527542633267E-2</v>
      </c>
      <c r="AS417" s="14">
        <f t="shared" si="725"/>
        <v>1.1263527542633267E-2</v>
      </c>
      <c r="AT417" s="14">
        <f t="shared" si="725"/>
        <v>1.1263527542633265E-2</v>
      </c>
      <c r="AU417" s="8" t="s">
        <v>29</v>
      </c>
    </row>
    <row r="418" spans="1:47" ht="7.95" customHeight="1" x14ac:dyDescent="0.3">
      <c r="G418" s="7"/>
      <c r="L418" s="7"/>
      <c r="Q418" s="7"/>
      <c r="V418" s="7"/>
      <c r="AA418" s="7"/>
      <c r="AF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8" t="s">
        <v>29</v>
      </c>
    </row>
    <row r="419" spans="1:47" ht="16.2" customHeight="1" x14ac:dyDescent="0.3">
      <c r="A419" s="9" t="s">
        <v>30</v>
      </c>
      <c r="B419" s="10" t="s">
        <v>235</v>
      </c>
      <c r="C419" s="11"/>
      <c r="D419" s="11"/>
      <c r="E419" s="11"/>
      <c r="F419" s="11"/>
      <c r="G419" s="12"/>
      <c r="H419" s="11"/>
      <c r="I419" s="11"/>
      <c r="J419" s="11"/>
      <c r="K419" s="11"/>
      <c r="L419" s="12"/>
      <c r="M419" s="11"/>
      <c r="N419" s="11"/>
      <c r="O419" s="11"/>
      <c r="P419" s="11"/>
      <c r="Q419" s="12"/>
      <c r="R419" s="11"/>
      <c r="S419" s="11"/>
      <c r="T419" s="11"/>
      <c r="U419" s="11"/>
      <c r="V419" s="12"/>
      <c r="W419" s="11"/>
      <c r="X419" s="11"/>
      <c r="Y419" s="11"/>
      <c r="Z419" s="11"/>
      <c r="AA419" s="12"/>
      <c r="AB419" s="11"/>
      <c r="AC419" s="11"/>
      <c r="AD419" s="11"/>
      <c r="AE419" s="11"/>
      <c r="AF419" s="12"/>
      <c r="AG419" s="11"/>
      <c r="AH419" s="11"/>
      <c r="AI419" s="11"/>
      <c r="AJ419" s="11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8" t="s">
        <v>29</v>
      </c>
    </row>
    <row r="420" spans="1:47" ht="7.95" customHeight="1" x14ac:dyDescent="0.3">
      <c r="G420" s="7"/>
      <c r="L420" s="7"/>
      <c r="Q420" s="7"/>
      <c r="V420" s="7"/>
      <c r="AA420" s="7"/>
      <c r="AF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8" t="s">
        <v>29</v>
      </c>
    </row>
    <row r="421" spans="1:47" ht="16.2" customHeight="1" x14ac:dyDescent="0.3">
      <c r="B421" s="5" t="s">
        <v>216</v>
      </c>
      <c r="C421" s="28">
        <f>C65</f>
        <v>9.81</v>
      </c>
      <c r="D421" s="28">
        <f>D65</f>
        <v>9.19</v>
      </c>
      <c r="E421" s="28">
        <f>E65</f>
        <v>8.9559999999999995</v>
      </c>
      <c r="F421" s="28">
        <f>F65</f>
        <v>9.2478000000000034</v>
      </c>
      <c r="G421" s="29">
        <f>F421</f>
        <v>9.2478000000000034</v>
      </c>
      <c r="H421" s="28">
        <f>H65</f>
        <v>10.589</v>
      </c>
      <c r="I421" s="28">
        <f>I65</f>
        <v>13.346</v>
      </c>
      <c r="J421" s="28">
        <f>J65</f>
        <v>14.095000000000001</v>
      </c>
      <c r="K421" s="28">
        <f>K65</f>
        <v>16.234000000000002</v>
      </c>
      <c r="L421" s="29">
        <f>K421</f>
        <v>16.234000000000002</v>
      </c>
      <c r="M421" s="28">
        <f>M65</f>
        <v>18.957999999999998</v>
      </c>
      <c r="N421" s="28">
        <f>N65</f>
        <v>28.922999999999998</v>
      </c>
      <c r="O421" s="28">
        <f>O65</f>
        <v>34.936</v>
      </c>
      <c r="P421" s="28">
        <f>P65</f>
        <v>40.131</v>
      </c>
      <c r="Q421" s="29">
        <f>P421</f>
        <v>40.131</v>
      </c>
      <c r="R421" s="28">
        <f>R65</f>
        <v>42.780999999999999</v>
      </c>
      <c r="S421" s="28">
        <f>S65</f>
        <v>46.188000000000002</v>
      </c>
      <c r="T421" s="28">
        <f>T65</f>
        <v>48.481000000000002</v>
      </c>
      <c r="U421" s="28">
        <f>U65</f>
        <v>52.627000000000002</v>
      </c>
      <c r="V421" s="29">
        <f>U421</f>
        <v>52.627000000000002</v>
      </c>
      <c r="W421" s="28">
        <f>W65</f>
        <v>56.290999999999997</v>
      </c>
      <c r="X421" s="28">
        <f>X65</f>
        <v>62.216999999999999</v>
      </c>
      <c r="Y421" s="28">
        <f>Y65</f>
        <v>68.710999999999999</v>
      </c>
      <c r="Z421" s="28">
        <f>Z65</f>
        <v>76.442999999999998</v>
      </c>
      <c r="AA421" s="29">
        <f>Z421</f>
        <v>76.442999999999998</v>
      </c>
      <c r="AB421" s="28">
        <f>AB65</f>
        <v>80.052999999999997</v>
      </c>
      <c r="AC421" s="28">
        <f>AC65</f>
        <v>83.287999999999997</v>
      </c>
      <c r="AD421" s="28">
        <f>AD65</f>
        <v>85.789000000000001</v>
      </c>
      <c r="AE421" s="28">
        <f>AE65</f>
        <v>93.733000000000004</v>
      </c>
      <c r="AF421" s="29">
        <f>AE421</f>
        <v>93.733000000000004</v>
      </c>
      <c r="AG421" s="28">
        <f>AG65</f>
        <v>97.552000000000007</v>
      </c>
      <c r="AH421" s="18">
        <f ca="1">AG421+AH422+AH424</f>
        <v>103.91475785435598</v>
      </c>
      <c r="AI421" s="18">
        <f t="shared" ref="AI421:AJ421" ca="1" si="726">AH421+AI422+AI424</f>
        <v>110.46247357135424</v>
      </c>
      <c r="AJ421" s="18">
        <f t="shared" ca="1" si="726"/>
        <v>119.52840584357151</v>
      </c>
      <c r="AK421" s="19">
        <f ca="1">AJ421</f>
        <v>119.52840584357151</v>
      </c>
      <c r="AL421" s="19">
        <f ca="1">AK421+AL422+AL424</f>
        <v>146.15951644577012</v>
      </c>
      <c r="AM421" s="19">
        <f ca="1">AL421+AM422+AM424</f>
        <v>174.032112882169</v>
      </c>
      <c r="AN421" s="19">
        <f t="shared" ref="AN421:AT421" ca="1" si="727">AM421+AN422+AN424</f>
        <v>203.37085933675777</v>
      </c>
      <c r="AO421" s="19">
        <f t="shared" ca="1" si="727"/>
        <v>234.38953217906788</v>
      </c>
      <c r="AP421" s="19">
        <f t="shared" ca="1" si="727"/>
        <v>267.29449942123989</v>
      </c>
      <c r="AQ421" s="19">
        <f t="shared" ca="1" si="727"/>
        <v>302.28768996176638</v>
      </c>
      <c r="AR421" s="19">
        <f t="shared" ca="1" si="727"/>
        <v>339.56914506262075</v>
      </c>
      <c r="AS421" s="19">
        <f t="shared" ca="1" si="727"/>
        <v>379.33922885273574</v>
      </c>
      <c r="AT421" s="19">
        <f t="shared" ca="1" si="727"/>
        <v>421.80056170229579</v>
      </c>
      <c r="AU421" s="8" t="s">
        <v>29</v>
      </c>
    </row>
    <row r="422" spans="1:47" ht="16.2" customHeight="1" x14ac:dyDescent="0.3">
      <c r="B422" s="20" t="s">
        <v>236</v>
      </c>
      <c r="C422" s="22">
        <v>0.253</v>
      </c>
      <c r="D422" s="22">
        <v>0</v>
      </c>
      <c r="E422" s="22">
        <v>0.26200000000000001</v>
      </c>
      <c r="F422" s="22">
        <v>9.0549999999999997</v>
      </c>
      <c r="G422" s="23">
        <f>SUM(C422:F422)</f>
        <v>9.57</v>
      </c>
      <c r="H422" s="22">
        <v>0.121</v>
      </c>
      <c r="I422" s="22">
        <v>3.4790000000000001</v>
      </c>
      <c r="J422" s="22">
        <v>2.5350000000000001</v>
      </c>
      <c r="K422" s="22">
        <v>3.6840000000000002</v>
      </c>
      <c r="L422" s="23">
        <f>SUM(H422:K422)</f>
        <v>9.8189999999999991</v>
      </c>
      <c r="M422" s="22">
        <v>3.5990000000000002</v>
      </c>
      <c r="N422" s="22">
        <v>20.795999999999999</v>
      </c>
      <c r="O422" s="22">
        <v>17.552</v>
      </c>
      <c r="P422" s="22">
        <v>6.6449999999999996</v>
      </c>
      <c r="Q422" s="23">
        <f>SUM(M422:P422)</f>
        <v>48.591999999999999</v>
      </c>
      <c r="R422" s="22">
        <v>4.3410000000000002</v>
      </c>
      <c r="S422" s="22">
        <v>5.2229999999999999</v>
      </c>
      <c r="T422" s="22">
        <v>4.1550000000000002</v>
      </c>
      <c r="U422" s="22">
        <v>6.3620000000000001</v>
      </c>
      <c r="V422" s="23">
        <f>SUM(R422:U422)</f>
        <v>20.081000000000003</v>
      </c>
      <c r="W422" s="22">
        <v>6.2969999999999997</v>
      </c>
      <c r="X422" s="22">
        <v>8.49</v>
      </c>
      <c r="Y422" s="22">
        <v>9.3960000000000008</v>
      </c>
      <c r="Z422" s="22">
        <v>11.08</v>
      </c>
      <c r="AA422" s="23">
        <f>SUM(W422:Z422)</f>
        <v>35.262999999999998</v>
      </c>
      <c r="AB422" s="22">
        <v>6.1289999999999996</v>
      </c>
      <c r="AC422" s="22">
        <v>6.1980000000000004</v>
      </c>
      <c r="AD422" s="22">
        <v>5.7880000000000003</v>
      </c>
      <c r="AE422" s="22">
        <v>11.359</v>
      </c>
      <c r="AF422" s="23">
        <f>SUM(AB422:AE422)</f>
        <v>29.474000000000004</v>
      </c>
      <c r="AG422" s="22">
        <v>7.5570000000000004</v>
      </c>
      <c r="AH422" s="33">
        <f ca="1">AH374</f>
        <v>10.239526975156553</v>
      </c>
      <c r="AI422" s="33">
        <f t="shared" ref="AI422:AJ422" ca="1" si="728">AI374</f>
        <v>10.677344268388657</v>
      </c>
      <c r="AJ422" s="33">
        <f t="shared" ca="1" si="728"/>
        <v>13.455770579465449</v>
      </c>
      <c r="AK422" s="34">
        <f ca="1">SUM(AG422:AJ422)</f>
        <v>41.929641823010662</v>
      </c>
      <c r="AL422" s="34">
        <f ca="1">AL374</f>
        <v>47.188925212318743</v>
      </c>
      <c r="AM422" s="34">
        <f ca="1">AM374</f>
        <v>53.010723406227825</v>
      </c>
      <c r="AN422" s="34">
        <f t="shared" ref="AN422:AT422" ca="1" si="729">AN374</f>
        <v>59.270710221606166</v>
      </c>
      <c r="AO422" s="34">
        <f t="shared" ca="1" si="729"/>
        <v>65.996638070236216</v>
      </c>
      <c r="AP422" s="34">
        <f t="shared" ca="1" si="729"/>
        <v>73.21786621445608</v>
      </c>
      <c r="AQ422" s="34">
        <f t="shared" ca="1" si="729"/>
        <v>80.965448989267841</v>
      </c>
      <c r="AR422" s="34">
        <f t="shared" ca="1" si="729"/>
        <v>89.272228719037699</v>
      </c>
      <c r="AS422" s="34">
        <f t="shared" ca="1" si="729"/>
        <v>98.172933575045761</v>
      </c>
      <c r="AT422" s="34">
        <f t="shared" ca="1" si="729"/>
        <v>107.70428063308803</v>
      </c>
      <c r="AU422" s="8" t="s">
        <v>29</v>
      </c>
    </row>
    <row r="423" spans="1:47" ht="16.2" customHeight="1" x14ac:dyDescent="0.3">
      <c r="B423" s="20" t="s">
        <v>237</v>
      </c>
      <c r="C423" s="22">
        <v>0</v>
      </c>
      <c r="D423" s="22">
        <v>0</v>
      </c>
      <c r="E423" s="22">
        <v>0</v>
      </c>
      <c r="F423" s="22">
        <v>-1E-3</v>
      </c>
      <c r="G423" s="23">
        <f>SUM(C423:F423)</f>
        <v>-1E-3</v>
      </c>
      <c r="H423" s="22">
        <v>0</v>
      </c>
      <c r="I423" s="22">
        <v>-4.3639999999999999</v>
      </c>
      <c r="J423" s="22">
        <v>-2.3E-2</v>
      </c>
      <c r="K423" s="22">
        <v>-0.02</v>
      </c>
      <c r="L423" s="23">
        <f>SUM(H423:K423)</f>
        <v>-4.4069999999999991</v>
      </c>
      <c r="M423" s="22">
        <v>0</v>
      </c>
      <c r="N423" s="22">
        <v>0</v>
      </c>
      <c r="O423" s="22">
        <v>-0.95799999999999996</v>
      </c>
      <c r="P423" s="22">
        <v>1E-3</v>
      </c>
      <c r="Q423" s="23">
        <f>SUM(M423:P423)</f>
        <v>-0.95699999999999996</v>
      </c>
      <c r="R423" s="22">
        <v>0</v>
      </c>
      <c r="S423" s="22">
        <v>0</v>
      </c>
      <c r="T423" s="22">
        <v>-0.01</v>
      </c>
      <c r="U423" s="22">
        <v>-0.22600000000000001</v>
      </c>
      <c r="V423" s="23">
        <f>SUM(R423:U423)</f>
        <v>-0.23600000000000002</v>
      </c>
      <c r="W423" s="22">
        <v>-0.311</v>
      </c>
      <c r="X423" s="22">
        <v>-3.9E-2</v>
      </c>
      <c r="Y423" s="22">
        <v>-5.2999999999999999E-2</v>
      </c>
      <c r="Z423" s="22">
        <v>-7.0000000000000007E-2</v>
      </c>
      <c r="AA423" s="23">
        <f>SUM(W423:Z423)</f>
        <v>-0.47299999999999998</v>
      </c>
      <c r="AB423" s="22">
        <v>0</v>
      </c>
      <c r="AC423" s="22">
        <v>-4.2999999999999997E-2</v>
      </c>
      <c r="AD423" s="22">
        <v>-0.19900000000000001</v>
      </c>
      <c r="AE423" s="22">
        <v>-1.9E-2</v>
      </c>
      <c r="AF423" s="23">
        <f>SUM(AB423:AE423)</f>
        <v>-0.26100000000000001</v>
      </c>
      <c r="AG423" s="22">
        <v>-1.2999999999999999E-2</v>
      </c>
      <c r="AK423" s="62">
        <f>SUM(AG423:AJ423)</f>
        <v>-1.2999999999999999E-2</v>
      </c>
      <c r="AL423" s="62"/>
      <c r="AM423" s="62"/>
      <c r="AN423" s="62"/>
      <c r="AO423" s="62"/>
      <c r="AP423" s="62"/>
      <c r="AQ423" s="62"/>
      <c r="AR423" s="62"/>
      <c r="AS423" s="62"/>
      <c r="AT423" s="62"/>
      <c r="AU423" s="8" t="s">
        <v>29</v>
      </c>
    </row>
    <row r="424" spans="1:47" ht="16.2" customHeight="1" x14ac:dyDescent="0.3">
      <c r="B424" s="20" t="s">
        <v>238</v>
      </c>
      <c r="C424" s="22">
        <v>-0.57599999999999996</v>
      </c>
      <c r="D424" s="22">
        <v>-0.62</v>
      </c>
      <c r="E424" s="22">
        <v>-0.496</v>
      </c>
      <c r="F424" s="22">
        <v>-8.7620000000000005</v>
      </c>
      <c r="G424" s="23">
        <f>SUM(C424:F424)</f>
        <v>-10.454000000000001</v>
      </c>
      <c r="H424" s="22">
        <v>1.22</v>
      </c>
      <c r="I424" s="22">
        <v>3.6419999999999999</v>
      </c>
      <c r="J424" s="22">
        <v>-1.7629999999999999</v>
      </c>
      <c r="K424" s="22">
        <v>-1.5249999999999999</v>
      </c>
      <c r="L424" s="23">
        <f>SUM(H424:K424)</f>
        <v>1.5740000000000003</v>
      </c>
      <c r="M424" s="22">
        <v>-0.875</v>
      </c>
      <c r="N424" s="22">
        <v>-10.831</v>
      </c>
      <c r="O424" s="22">
        <v>-10.581</v>
      </c>
      <c r="P424" s="22">
        <v>-1.4510000000000001</v>
      </c>
      <c r="Q424" s="23">
        <f>SUM(M424:P424)</f>
        <v>-23.738</v>
      </c>
      <c r="R424" s="22">
        <v>-1.6910000000000001</v>
      </c>
      <c r="S424" s="22">
        <v>-1.8160000000000001</v>
      </c>
      <c r="T424" s="22">
        <v>-1.8520000000000001</v>
      </c>
      <c r="U424" s="22">
        <v>-1.99</v>
      </c>
      <c r="V424" s="23">
        <f>SUM(R424:U424)</f>
        <v>-7.3490000000000002</v>
      </c>
      <c r="W424" s="22">
        <v>-2.3220000000000001</v>
      </c>
      <c r="X424" s="22">
        <v>-2.5249999999999999</v>
      </c>
      <c r="Y424" s="22">
        <v>-2.8490000000000002</v>
      </c>
      <c r="Z424" s="22">
        <v>-3.278</v>
      </c>
      <c r="AA424" s="23">
        <f>SUM(W424:Z424)</f>
        <v>-10.974</v>
      </c>
      <c r="AB424" s="22">
        <v>-2.5190000000000001</v>
      </c>
      <c r="AC424" s="22">
        <v>-2.92</v>
      </c>
      <c r="AD424" s="22">
        <v>-3.0880000000000001</v>
      </c>
      <c r="AE424" s="22">
        <v>-3.3959999999999999</v>
      </c>
      <c r="AF424" s="23">
        <f>SUM(AB424:AE424)</f>
        <v>-11.923000000000002</v>
      </c>
      <c r="AG424" s="22">
        <v>-3.7250000000000001</v>
      </c>
      <c r="AH424" s="22">
        <f>AH438</f>
        <v>-3.8767691208005717</v>
      </c>
      <c r="AI424" s="22">
        <f t="shared" ref="AI424:AJ424" ca="1" si="730">AI438</f>
        <v>-4.1296285513903959</v>
      </c>
      <c r="AJ424" s="22">
        <f t="shared" ca="1" si="730"/>
        <v>-4.3898383072481888</v>
      </c>
      <c r="AK424" s="23">
        <f ca="1">SUM(AG424:AJ424)</f>
        <v>-16.121235979439156</v>
      </c>
      <c r="AL424" s="23">
        <f ca="1">AL438</f>
        <v>-20.557814610120133</v>
      </c>
      <c r="AM424" s="23">
        <f ca="1">AM438</f>
        <v>-25.138126969828964</v>
      </c>
      <c r="AN424" s="23">
        <f t="shared" ref="AN424:AT424" ca="1" si="731">AN438</f>
        <v>-29.931963767017375</v>
      </c>
      <c r="AO424" s="23">
        <f t="shared" ca="1" si="731"/>
        <v>-34.97796522792612</v>
      </c>
      <c r="AP424" s="23">
        <f t="shared" ca="1" si="731"/>
        <v>-40.312898972284053</v>
      </c>
      <c r="AQ424" s="23">
        <f t="shared" ca="1" si="731"/>
        <v>-45.972258448741329</v>
      </c>
      <c r="AR424" s="23">
        <f t="shared" ca="1" si="731"/>
        <v>-51.990773618183312</v>
      </c>
      <c r="AS424" s="23">
        <f t="shared" ca="1" si="731"/>
        <v>-58.402849784930766</v>
      </c>
      <c r="AT424" s="23">
        <f t="shared" ca="1" si="731"/>
        <v>-65.242947783527967</v>
      </c>
      <c r="AU424" s="8" t="s">
        <v>29</v>
      </c>
    </row>
    <row r="425" spans="1:47" ht="7.95" customHeight="1" x14ac:dyDescent="0.3">
      <c r="G425" s="7"/>
      <c r="L425" s="7"/>
      <c r="Q425" s="7"/>
      <c r="V425" s="7"/>
      <c r="AA425" s="7"/>
      <c r="AF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8" t="s">
        <v>29</v>
      </c>
    </row>
    <row r="426" spans="1:47" ht="16.2" customHeight="1" x14ac:dyDescent="0.3">
      <c r="B426" s="5" t="s">
        <v>216</v>
      </c>
      <c r="C426" s="28">
        <f>C421</f>
        <v>9.81</v>
      </c>
      <c r="D426" s="28">
        <f t="shared" ref="D426:AJ426" si="732">D421</f>
        <v>9.19</v>
      </c>
      <c r="E426" s="28">
        <f t="shared" si="732"/>
        <v>8.9559999999999995</v>
      </c>
      <c r="F426" s="28">
        <f t="shared" si="732"/>
        <v>9.2478000000000034</v>
      </c>
      <c r="G426" s="29">
        <f t="shared" ref="G426:G433" si="733">F426</f>
        <v>9.2478000000000034</v>
      </c>
      <c r="H426" s="28">
        <f t="shared" si="732"/>
        <v>10.589</v>
      </c>
      <c r="I426" s="28">
        <f t="shared" si="732"/>
        <v>13.346</v>
      </c>
      <c r="J426" s="28">
        <f t="shared" si="732"/>
        <v>14.095000000000001</v>
      </c>
      <c r="K426" s="28">
        <f t="shared" si="732"/>
        <v>16.234000000000002</v>
      </c>
      <c r="L426" s="29">
        <f t="shared" ref="L426:L433" si="734">K426</f>
        <v>16.234000000000002</v>
      </c>
      <c r="M426" s="28">
        <f t="shared" si="732"/>
        <v>18.957999999999998</v>
      </c>
      <c r="N426" s="28">
        <f t="shared" si="732"/>
        <v>28.922999999999998</v>
      </c>
      <c r="O426" s="28">
        <f t="shared" si="732"/>
        <v>34.936</v>
      </c>
      <c r="P426" s="28">
        <f t="shared" si="732"/>
        <v>40.131</v>
      </c>
      <c r="Q426" s="29">
        <f t="shared" ref="Q426:Q433" si="735">P426</f>
        <v>40.131</v>
      </c>
      <c r="R426" s="28">
        <f t="shared" si="732"/>
        <v>42.780999999999999</v>
      </c>
      <c r="S426" s="28">
        <f t="shared" si="732"/>
        <v>46.188000000000002</v>
      </c>
      <c r="T426" s="28">
        <f t="shared" si="732"/>
        <v>48.481000000000002</v>
      </c>
      <c r="U426" s="28">
        <f t="shared" si="732"/>
        <v>52.627000000000002</v>
      </c>
      <c r="V426" s="29">
        <f t="shared" ref="V426:V433" si="736">U426</f>
        <v>52.627000000000002</v>
      </c>
      <c r="W426" s="28">
        <f t="shared" si="732"/>
        <v>56.290999999999997</v>
      </c>
      <c r="X426" s="28">
        <f t="shared" si="732"/>
        <v>62.216999999999999</v>
      </c>
      <c r="Y426" s="28">
        <f t="shared" si="732"/>
        <v>68.710999999999999</v>
      </c>
      <c r="Z426" s="28">
        <f t="shared" si="732"/>
        <v>76.442999999999998</v>
      </c>
      <c r="AA426" s="29">
        <f t="shared" ref="AA426:AA433" si="737">Z426</f>
        <v>76.442999999999998</v>
      </c>
      <c r="AB426" s="28">
        <f t="shared" si="732"/>
        <v>80.052999999999997</v>
      </c>
      <c r="AC426" s="28">
        <f t="shared" si="732"/>
        <v>83.287999999999997</v>
      </c>
      <c r="AD426" s="28">
        <f t="shared" si="732"/>
        <v>85.789000000000001</v>
      </c>
      <c r="AE426" s="28">
        <f t="shared" si="732"/>
        <v>93.733000000000004</v>
      </c>
      <c r="AF426" s="29">
        <f t="shared" ref="AF426:AF433" si="738">AE426</f>
        <v>93.733000000000004</v>
      </c>
      <c r="AG426" s="28">
        <f t="shared" si="732"/>
        <v>97.552000000000007</v>
      </c>
      <c r="AH426" s="28">
        <f t="shared" ca="1" si="732"/>
        <v>103.91475785435598</v>
      </c>
      <c r="AI426" s="28">
        <f t="shared" ca="1" si="732"/>
        <v>110.46247357135424</v>
      </c>
      <c r="AJ426" s="28">
        <f t="shared" ca="1" si="732"/>
        <v>119.52840584357151</v>
      </c>
      <c r="AK426" s="29">
        <f ca="1">AJ426</f>
        <v>119.52840584357151</v>
      </c>
      <c r="AL426" s="29">
        <f ca="1">AL421</f>
        <v>146.15951644577012</v>
      </c>
      <c r="AM426" s="29">
        <f ca="1">AM421</f>
        <v>174.032112882169</v>
      </c>
      <c r="AN426" s="29">
        <f t="shared" ref="AN426:AT426" ca="1" si="739">AN421</f>
        <v>203.37085933675777</v>
      </c>
      <c r="AO426" s="29">
        <f t="shared" ca="1" si="739"/>
        <v>234.38953217906788</v>
      </c>
      <c r="AP426" s="29">
        <f t="shared" ca="1" si="739"/>
        <v>267.29449942123989</v>
      </c>
      <c r="AQ426" s="29">
        <f t="shared" ca="1" si="739"/>
        <v>302.28768996176638</v>
      </c>
      <c r="AR426" s="29">
        <f t="shared" ca="1" si="739"/>
        <v>339.56914506262075</v>
      </c>
      <c r="AS426" s="29">
        <f t="shared" ca="1" si="739"/>
        <v>379.33922885273574</v>
      </c>
      <c r="AT426" s="29">
        <f t="shared" ca="1" si="739"/>
        <v>421.80056170229579</v>
      </c>
      <c r="AU426" s="8" t="s">
        <v>29</v>
      </c>
    </row>
    <row r="427" spans="1:47" ht="16.2" customHeight="1" x14ac:dyDescent="0.3">
      <c r="B427" s="20" t="s">
        <v>239</v>
      </c>
      <c r="C427" s="22">
        <v>1.1890000000000001</v>
      </c>
      <c r="D427" s="22">
        <v>1.1180000000000001</v>
      </c>
      <c r="E427" s="22">
        <v>1.24</v>
      </c>
      <c r="F427" s="22">
        <v>1.181</v>
      </c>
      <c r="G427" s="23">
        <f t="shared" si="733"/>
        <v>1.181</v>
      </c>
      <c r="H427" s="22">
        <v>1.143</v>
      </c>
      <c r="I427" s="22">
        <v>1.54</v>
      </c>
      <c r="J427" s="22">
        <v>1.8140000000000001</v>
      </c>
      <c r="K427" s="22">
        <v>2.512</v>
      </c>
      <c r="L427" s="23">
        <f t="shared" si="734"/>
        <v>2.512</v>
      </c>
      <c r="M427" s="22">
        <v>5.1120000000000001</v>
      </c>
      <c r="N427" s="22">
        <v>11.54</v>
      </c>
      <c r="O427" s="22">
        <v>12.41</v>
      </c>
      <c r="P427" s="22">
        <v>11.401999999999999</v>
      </c>
      <c r="Q427" s="23">
        <f t="shared" si="735"/>
        <v>11.401999999999999</v>
      </c>
      <c r="R427" s="22">
        <v>14.189</v>
      </c>
      <c r="S427" s="22">
        <v>13.952</v>
      </c>
      <c r="T427" s="22">
        <v>13.846</v>
      </c>
      <c r="U427" s="22">
        <v>13.925000000000001</v>
      </c>
      <c r="V427" s="23">
        <f t="shared" si="736"/>
        <v>13.925000000000001</v>
      </c>
      <c r="W427" s="22">
        <v>14.045</v>
      </c>
      <c r="X427" s="22">
        <v>14.164999999999999</v>
      </c>
      <c r="Y427" s="22">
        <v>14.515000000000001</v>
      </c>
      <c r="Z427" s="22">
        <v>15.54</v>
      </c>
      <c r="AA427" s="23">
        <f t="shared" si="737"/>
        <v>15.54</v>
      </c>
      <c r="AB427" s="22">
        <v>16.111000000000001</v>
      </c>
      <c r="AC427" s="22">
        <v>16.917999999999999</v>
      </c>
      <c r="AD427" s="22">
        <v>17.768000000000001</v>
      </c>
      <c r="AE427" s="22">
        <v>18.303000000000001</v>
      </c>
      <c r="AF427" s="23">
        <f t="shared" si="738"/>
        <v>18.303000000000001</v>
      </c>
      <c r="AG427" s="22">
        <v>18.154</v>
      </c>
      <c r="AH427" s="167"/>
      <c r="AI427" s="167"/>
      <c r="AJ427" s="167"/>
      <c r="AK427" s="168"/>
      <c r="AL427" s="168"/>
      <c r="AM427" s="168"/>
      <c r="AN427" s="168"/>
      <c r="AO427" s="168"/>
      <c r="AP427" s="168"/>
      <c r="AQ427" s="168"/>
      <c r="AR427" s="168"/>
      <c r="AS427" s="168"/>
      <c r="AT427" s="168"/>
      <c r="AU427" s="8" t="s">
        <v>29</v>
      </c>
    </row>
    <row r="428" spans="1:47" ht="16.2" customHeight="1" x14ac:dyDescent="0.3">
      <c r="B428" s="20" t="s">
        <v>240</v>
      </c>
      <c r="C428" s="22">
        <v>1.5529999999999999</v>
      </c>
      <c r="D428" s="22">
        <v>1.52</v>
      </c>
      <c r="E428" s="22">
        <v>1.62</v>
      </c>
      <c r="F428" s="22">
        <v>1.5529999999999999</v>
      </c>
      <c r="G428" s="23">
        <f t="shared" si="733"/>
        <v>1.5529999999999999</v>
      </c>
      <c r="H428" s="22">
        <v>1.496</v>
      </c>
      <c r="I428" s="22">
        <v>2.25</v>
      </c>
      <c r="J428" s="22">
        <v>3.0190000000000001</v>
      </c>
      <c r="K428" s="22">
        <v>3.145</v>
      </c>
      <c r="L428" s="23">
        <f t="shared" si="734"/>
        <v>3.145</v>
      </c>
      <c r="M428" s="22">
        <v>2.86</v>
      </c>
      <c r="N428" s="22">
        <v>2.9159999999999999</v>
      </c>
      <c r="O428" s="22">
        <v>6.9</v>
      </c>
      <c r="P428" s="22">
        <v>8.5500000000000007</v>
      </c>
      <c r="Q428" s="23">
        <f t="shared" si="735"/>
        <v>8.5500000000000007</v>
      </c>
      <c r="R428" s="22">
        <v>8.32</v>
      </c>
      <c r="S428" s="22">
        <v>8.5440000000000005</v>
      </c>
      <c r="T428" s="22">
        <v>8.3439999999999994</v>
      </c>
      <c r="U428" s="22">
        <v>11.071999999999999</v>
      </c>
      <c r="V428" s="23">
        <f t="shared" si="736"/>
        <v>11.071999999999999</v>
      </c>
      <c r="W428" s="22">
        <v>11.65</v>
      </c>
      <c r="X428" s="22">
        <v>12.853999999999999</v>
      </c>
      <c r="Y428" s="22">
        <v>13.86</v>
      </c>
      <c r="Z428" s="22">
        <v>15.234999999999999</v>
      </c>
      <c r="AA428" s="23">
        <f t="shared" si="737"/>
        <v>15.234999999999999</v>
      </c>
      <c r="AB428" s="22">
        <v>15.2</v>
      </c>
      <c r="AC428" s="22">
        <v>15.541</v>
      </c>
      <c r="AD428" s="22">
        <v>15.449</v>
      </c>
      <c r="AE428" s="22">
        <v>16.228000000000002</v>
      </c>
      <c r="AF428" s="23">
        <f t="shared" si="738"/>
        <v>16.228000000000002</v>
      </c>
      <c r="AG428" s="22">
        <v>16.695</v>
      </c>
      <c r="AH428" s="167"/>
      <c r="AI428" s="167"/>
      <c r="AJ428" s="167"/>
      <c r="AK428" s="168"/>
      <c r="AL428" s="168"/>
      <c r="AM428" s="168"/>
      <c r="AN428" s="168"/>
      <c r="AO428" s="168"/>
      <c r="AP428" s="168"/>
      <c r="AQ428" s="168"/>
      <c r="AR428" s="168"/>
      <c r="AS428" s="168"/>
      <c r="AT428" s="168"/>
      <c r="AU428" s="8" t="s">
        <v>29</v>
      </c>
    </row>
    <row r="429" spans="1:47" ht="16.2" customHeight="1" x14ac:dyDescent="0.3">
      <c r="B429" s="20" t="s">
        <v>241</v>
      </c>
      <c r="C429" s="22">
        <v>1.5089999999999999</v>
      </c>
      <c r="D429" s="22">
        <v>1.46</v>
      </c>
      <c r="E429" s="22">
        <v>1.1579999999999999</v>
      </c>
      <c r="F429" s="22">
        <v>1.5089999999999999</v>
      </c>
      <c r="G429" s="23">
        <f t="shared" si="733"/>
        <v>1.5089999999999999</v>
      </c>
      <c r="H429" s="22">
        <v>1.472</v>
      </c>
      <c r="I429" s="22">
        <v>1.71</v>
      </c>
      <c r="J429" s="22">
        <v>1.948</v>
      </c>
      <c r="K429" s="22">
        <v>1.9590000000000001</v>
      </c>
      <c r="L429" s="23">
        <f t="shared" si="734"/>
        <v>1.9590000000000001</v>
      </c>
      <c r="M429" s="22">
        <v>2.1</v>
      </c>
      <c r="N429" s="22">
        <v>2.4430000000000001</v>
      </c>
      <c r="O429" s="22">
        <v>3.12</v>
      </c>
      <c r="P429" s="22">
        <v>3.6019999999999999</v>
      </c>
      <c r="Q429" s="23">
        <f t="shared" si="735"/>
        <v>3.6019999999999999</v>
      </c>
      <c r="R429" s="22">
        <v>3.7149999999999999</v>
      </c>
      <c r="S429" s="22">
        <v>4.2039999999999997</v>
      </c>
      <c r="T429" s="22">
        <v>4.4720000000000004</v>
      </c>
      <c r="U429" s="22">
        <v>4.806</v>
      </c>
      <c r="V429" s="23">
        <f t="shared" si="736"/>
        <v>4.806</v>
      </c>
      <c r="W429" s="22">
        <v>5</v>
      </c>
      <c r="X429" s="22">
        <v>5.5119999999999996</v>
      </c>
      <c r="Y429" s="22">
        <v>5.657</v>
      </c>
      <c r="Z429" s="22">
        <v>6.2770000000000001</v>
      </c>
      <c r="AA429" s="23">
        <f t="shared" si="737"/>
        <v>6.2770000000000001</v>
      </c>
      <c r="AB429" s="22">
        <v>6.9089999999999998</v>
      </c>
      <c r="AC429" s="22">
        <v>7.125</v>
      </c>
      <c r="AD429" s="22">
        <v>7.1550000000000002</v>
      </c>
      <c r="AE429" s="22">
        <v>7.9169999999999998</v>
      </c>
      <c r="AF429" s="23">
        <f t="shared" si="738"/>
        <v>7.9169999999999998</v>
      </c>
      <c r="AG429" s="22">
        <v>7.9770000000000003</v>
      </c>
      <c r="AH429" s="167"/>
      <c r="AI429" s="167"/>
      <c r="AJ429" s="167"/>
      <c r="AK429" s="168"/>
      <c r="AL429" s="168"/>
      <c r="AM429" s="168"/>
      <c r="AN429" s="168"/>
      <c r="AO429" s="168"/>
      <c r="AP429" s="168"/>
      <c r="AQ429" s="168"/>
      <c r="AR429" s="168"/>
      <c r="AS429" s="168"/>
      <c r="AT429" s="168"/>
      <c r="AU429" s="8" t="s">
        <v>29</v>
      </c>
    </row>
    <row r="430" spans="1:47" ht="16.2" customHeight="1" x14ac:dyDescent="0.3">
      <c r="B430" s="20" t="s">
        <v>242</v>
      </c>
      <c r="C430" s="22">
        <v>0.96599999999999997</v>
      </c>
      <c r="D430" s="22">
        <v>0.9</v>
      </c>
      <c r="E430" s="22">
        <v>0.67500000000000004</v>
      </c>
      <c r="F430" s="22">
        <v>0.96599999999999997</v>
      </c>
      <c r="G430" s="23">
        <f t="shared" si="733"/>
        <v>0.96599999999999997</v>
      </c>
      <c r="H430" s="22">
        <v>1.0609999999999999</v>
      </c>
      <c r="I430" s="22">
        <v>1.4</v>
      </c>
      <c r="J430" s="22">
        <v>1.746</v>
      </c>
      <c r="K430" s="22">
        <v>1.8680000000000001</v>
      </c>
      <c r="L430" s="23">
        <f t="shared" si="734"/>
        <v>1.8680000000000001</v>
      </c>
      <c r="M430" s="22">
        <v>2.0099999999999998</v>
      </c>
      <c r="N430" s="22">
        <v>2.1139999999999999</v>
      </c>
      <c r="O430" s="22">
        <v>2.52</v>
      </c>
      <c r="P430" s="22">
        <v>2.9089999999999998</v>
      </c>
      <c r="Q430" s="23">
        <f t="shared" si="735"/>
        <v>2.9089999999999998</v>
      </c>
      <c r="R430" s="22">
        <v>2.8079999999999998</v>
      </c>
      <c r="S430" s="22">
        <v>3.0539999999999998</v>
      </c>
      <c r="T430" s="22">
        <v>3.2429999999999999</v>
      </c>
      <c r="U430" s="22">
        <v>3.51</v>
      </c>
      <c r="V430" s="23">
        <f t="shared" si="736"/>
        <v>3.51</v>
      </c>
      <c r="W430" s="22">
        <v>3.75</v>
      </c>
      <c r="X430" s="22">
        <v>4.1040000000000001</v>
      </c>
      <c r="Y430" s="22">
        <v>4.8879999999999999</v>
      </c>
      <c r="Z430" s="22">
        <v>4.9790000000000001</v>
      </c>
      <c r="AA430" s="23">
        <f t="shared" si="737"/>
        <v>4.9790000000000001</v>
      </c>
      <c r="AB430" s="22">
        <v>5.7779999999999996</v>
      </c>
      <c r="AC430" s="22">
        <v>5.984</v>
      </c>
      <c r="AD430" s="22">
        <v>5.9569999999999999</v>
      </c>
      <c r="AE430" s="22">
        <v>6.3879999999999999</v>
      </c>
      <c r="AF430" s="23">
        <f t="shared" si="738"/>
        <v>6.3879999999999999</v>
      </c>
      <c r="AG430" s="22">
        <v>7.2140000000000004</v>
      </c>
      <c r="AH430" s="167"/>
      <c r="AI430" s="167"/>
      <c r="AJ430" s="167"/>
      <c r="AK430" s="168"/>
      <c r="AL430" s="168"/>
      <c r="AM430" s="168"/>
      <c r="AN430" s="168"/>
      <c r="AO430" s="168"/>
      <c r="AP430" s="168"/>
      <c r="AQ430" s="168"/>
      <c r="AR430" s="168"/>
      <c r="AS430" s="168"/>
      <c r="AT430" s="168"/>
      <c r="AU430" s="8" t="s">
        <v>29</v>
      </c>
    </row>
    <row r="431" spans="1:47" ht="16.2" customHeight="1" x14ac:dyDescent="0.3">
      <c r="B431" s="20" t="s">
        <v>243</v>
      </c>
      <c r="C431" s="22">
        <v>3.1459999999999999</v>
      </c>
      <c r="D431" s="22">
        <v>3</v>
      </c>
      <c r="E431" s="22">
        <v>1.641</v>
      </c>
      <c r="F431" s="22">
        <v>3.1459999999999999</v>
      </c>
      <c r="G431" s="23">
        <f t="shared" si="733"/>
        <v>3.1459999999999999</v>
      </c>
      <c r="H431" s="22">
        <v>3.2440000000000002</v>
      </c>
      <c r="I431" s="22">
        <v>4.25</v>
      </c>
      <c r="J431" s="22">
        <v>5.2469999999999999</v>
      </c>
      <c r="K431" s="22">
        <v>5.2039999999999997</v>
      </c>
      <c r="L431" s="23">
        <f t="shared" si="734"/>
        <v>5.2039999999999997</v>
      </c>
      <c r="M431" s="22">
        <v>5.0999999999999996</v>
      </c>
      <c r="N431" s="22">
        <v>4.7779999999999996</v>
      </c>
      <c r="O431" s="22">
        <v>7.2</v>
      </c>
      <c r="P431" s="22">
        <v>10.835000000000001</v>
      </c>
      <c r="Q431" s="23">
        <f t="shared" si="735"/>
        <v>10.835000000000001</v>
      </c>
      <c r="R431" s="22">
        <v>10.491</v>
      </c>
      <c r="S431" s="22">
        <v>9.7859999999999996</v>
      </c>
      <c r="T431" s="22">
        <v>9.2840000000000007</v>
      </c>
      <c r="U431" s="22">
        <v>14.423999999999999</v>
      </c>
      <c r="V431" s="23">
        <f t="shared" si="736"/>
        <v>14.423999999999999</v>
      </c>
      <c r="W431" s="22">
        <v>15.35</v>
      </c>
      <c r="X431" s="22">
        <v>17.023</v>
      </c>
      <c r="Y431" s="22">
        <v>21.408999999999999</v>
      </c>
      <c r="Z431" s="22">
        <v>26.802</v>
      </c>
      <c r="AA431" s="23">
        <f t="shared" si="737"/>
        <v>26.802</v>
      </c>
      <c r="AB431" s="22">
        <v>26.742999999999999</v>
      </c>
      <c r="AC431" s="22">
        <v>32.725999999999999</v>
      </c>
      <c r="AD431" s="22">
        <v>33.734000000000002</v>
      </c>
      <c r="AE431" s="22">
        <v>36.793999999999997</v>
      </c>
      <c r="AF431" s="23">
        <f t="shared" si="738"/>
        <v>36.793999999999997</v>
      </c>
      <c r="AG431" s="22">
        <v>40.344000000000001</v>
      </c>
      <c r="AH431" s="167"/>
      <c r="AI431" s="167"/>
      <c r="AJ431" s="167"/>
      <c r="AK431" s="168"/>
      <c r="AL431" s="168"/>
      <c r="AM431" s="168"/>
      <c r="AN431" s="168"/>
      <c r="AO431" s="168"/>
      <c r="AP431" s="168"/>
      <c r="AQ431" s="168"/>
      <c r="AR431" s="168"/>
      <c r="AS431" s="168"/>
      <c r="AT431" s="168"/>
      <c r="AU431" s="8" t="s">
        <v>29</v>
      </c>
    </row>
    <row r="432" spans="1:47" ht="16.2" customHeight="1" x14ac:dyDescent="0.3">
      <c r="B432" s="20" t="s">
        <v>244</v>
      </c>
      <c r="C432" s="22">
        <v>4.5999999999999999E-2</v>
      </c>
      <c r="D432" s="22">
        <v>5.3999999999999999E-2</v>
      </c>
      <c r="E432" s="22">
        <v>5.3999999999999999E-2</v>
      </c>
      <c r="F432" s="22">
        <v>4.5999999999999999E-2</v>
      </c>
      <c r="G432" s="23">
        <f t="shared" si="733"/>
        <v>4.5999999999999999E-2</v>
      </c>
      <c r="H432" s="22">
        <v>4.2000000000000003E-2</v>
      </c>
      <c r="I432" s="22">
        <v>0.06</v>
      </c>
      <c r="J432" s="22">
        <v>6.7000000000000004E-2</v>
      </c>
      <c r="K432" s="22">
        <v>6.2E-2</v>
      </c>
      <c r="L432" s="23">
        <f t="shared" si="734"/>
        <v>6.2E-2</v>
      </c>
      <c r="M432" s="22">
        <v>5.5E-2</v>
      </c>
      <c r="N432" s="22">
        <v>5.3999999999999999E-2</v>
      </c>
      <c r="O432" s="22">
        <v>5.7000000000000002E-2</v>
      </c>
      <c r="P432" s="22">
        <v>5.8000000000000003E-2</v>
      </c>
      <c r="Q432" s="23">
        <f t="shared" si="735"/>
        <v>5.8000000000000003E-2</v>
      </c>
      <c r="R432" s="22">
        <v>5.2999999999999999E-2</v>
      </c>
      <c r="S432" s="22">
        <v>6.5000000000000002E-2</v>
      </c>
      <c r="T432" s="22">
        <v>6.9000000000000006E-2</v>
      </c>
      <c r="U432" s="22">
        <v>6.3E-2</v>
      </c>
      <c r="V432" s="23">
        <f t="shared" si="736"/>
        <v>6.3E-2</v>
      </c>
      <c r="W432" s="22">
        <v>0.06</v>
      </c>
      <c r="X432" s="22">
        <v>5.8999999999999997E-2</v>
      </c>
      <c r="Y432" s="22">
        <v>6.7000000000000004E-2</v>
      </c>
      <c r="Z432" s="22">
        <v>6.4000000000000001E-2</v>
      </c>
      <c r="AA432" s="23">
        <f t="shared" si="737"/>
        <v>6.4000000000000001E-2</v>
      </c>
      <c r="AB432" s="22">
        <v>6.4000000000000001E-2</v>
      </c>
      <c r="AC432" s="22">
        <v>7.2999999999999995E-2</v>
      </c>
      <c r="AD432" s="22">
        <v>7.1999999999999995E-2</v>
      </c>
      <c r="AE432" s="22">
        <v>8.2000000000000003E-2</v>
      </c>
      <c r="AF432" s="23">
        <f t="shared" si="738"/>
        <v>8.2000000000000003E-2</v>
      </c>
      <c r="AG432" s="22">
        <v>7.4999999999999997E-2</v>
      </c>
      <c r="AH432" s="167"/>
      <c r="AI432" s="167"/>
      <c r="AJ432" s="167"/>
      <c r="AK432" s="168"/>
      <c r="AL432" s="168"/>
      <c r="AM432" s="168"/>
      <c r="AN432" s="168"/>
      <c r="AO432" s="168"/>
      <c r="AP432" s="168"/>
      <c r="AQ432" s="168"/>
      <c r="AR432" s="168"/>
      <c r="AS432" s="168"/>
      <c r="AT432" s="168"/>
      <c r="AU432" s="8" t="s">
        <v>29</v>
      </c>
    </row>
    <row r="433" spans="1:47" ht="16.2" customHeight="1" x14ac:dyDescent="0.3">
      <c r="B433" s="20" t="s">
        <v>245</v>
      </c>
      <c r="C433" s="22">
        <v>1.401</v>
      </c>
      <c r="D433" s="22">
        <v>1.1379999999999999</v>
      </c>
      <c r="E433" s="22">
        <v>2.5680000000000001</v>
      </c>
      <c r="F433" s="22">
        <v>0.84699999999999998</v>
      </c>
      <c r="G433" s="23">
        <f t="shared" si="733"/>
        <v>0.84699999999999998</v>
      </c>
      <c r="H433" s="22">
        <v>2.1309999999999998</v>
      </c>
      <c r="I433" s="22">
        <v>2.1360000000000001</v>
      </c>
      <c r="J433" s="22">
        <v>0.254</v>
      </c>
      <c r="K433" s="22">
        <v>1.484</v>
      </c>
      <c r="L433" s="23">
        <f t="shared" si="734"/>
        <v>1.484</v>
      </c>
      <c r="M433" s="22">
        <v>1.7210000000000001</v>
      </c>
      <c r="N433" s="22">
        <v>5.0780000000000003</v>
      </c>
      <c r="O433" s="22">
        <v>2.7290000000000001</v>
      </c>
      <c r="P433" s="22">
        <v>2.7749999999999999</v>
      </c>
      <c r="Q433" s="23">
        <f t="shared" si="735"/>
        <v>2.7749999999999999</v>
      </c>
      <c r="R433" s="22">
        <v>3.2050000000000001</v>
      </c>
      <c r="S433" s="22">
        <v>6.5830000000000002</v>
      </c>
      <c r="T433" s="22">
        <v>9.2230000000000008</v>
      </c>
      <c r="U433" s="22">
        <v>4.827</v>
      </c>
      <c r="V433" s="23">
        <f t="shared" si="736"/>
        <v>4.827</v>
      </c>
      <c r="W433" s="22">
        <v>6.4359999999999999</v>
      </c>
      <c r="X433" s="22">
        <v>8.5</v>
      </c>
      <c r="Y433" s="22">
        <v>8.3149999999999995</v>
      </c>
      <c r="Z433" s="22">
        <v>7.5460000000000003</v>
      </c>
      <c r="AA433" s="23">
        <f t="shared" si="737"/>
        <v>7.5460000000000003</v>
      </c>
      <c r="AB433" s="22">
        <v>9.2479999999999993</v>
      </c>
      <c r="AC433" s="22">
        <v>4.9210000000000003</v>
      </c>
      <c r="AD433" s="22">
        <v>5.6539999999999999</v>
      </c>
      <c r="AE433" s="22">
        <v>8.0210000000000008</v>
      </c>
      <c r="AF433" s="23">
        <f t="shared" si="738"/>
        <v>8.0210000000000008</v>
      </c>
      <c r="AG433" s="22">
        <v>7.093</v>
      </c>
      <c r="AH433" s="167"/>
      <c r="AI433" s="167"/>
      <c r="AJ433" s="167"/>
      <c r="AK433" s="168"/>
      <c r="AL433" s="168"/>
      <c r="AM433" s="168"/>
      <c r="AN433" s="168"/>
      <c r="AO433" s="168"/>
      <c r="AP433" s="168"/>
      <c r="AQ433" s="168"/>
      <c r="AR433" s="168"/>
      <c r="AS433" s="168"/>
      <c r="AT433" s="168"/>
      <c r="AU433" s="8" t="s">
        <v>29</v>
      </c>
    </row>
    <row r="434" spans="1:47" ht="7.95" customHeight="1" x14ac:dyDescent="0.3">
      <c r="G434" s="7"/>
      <c r="L434" s="7"/>
      <c r="Q434" s="7"/>
      <c r="V434" s="7"/>
      <c r="AA434" s="7"/>
      <c r="AF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8" t="s">
        <v>29</v>
      </c>
    </row>
    <row r="435" spans="1:47" ht="16.2" customHeight="1" x14ac:dyDescent="0.3">
      <c r="B435" s="20" t="s">
        <v>246</v>
      </c>
      <c r="C435" s="22">
        <f>C422</f>
        <v>0.253</v>
      </c>
      <c r="D435" s="22">
        <f t="shared" ref="D435:AJ435" si="740">D422</f>
        <v>0</v>
      </c>
      <c r="E435" s="22">
        <f t="shared" si="740"/>
        <v>0.26200000000000001</v>
      </c>
      <c r="F435" s="22">
        <f t="shared" si="740"/>
        <v>9.0549999999999997</v>
      </c>
      <c r="G435" s="23">
        <f>SUM(C435:F435)</f>
        <v>9.57</v>
      </c>
      <c r="H435" s="22">
        <f t="shared" si="740"/>
        <v>0.121</v>
      </c>
      <c r="I435" s="22">
        <f t="shared" si="740"/>
        <v>3.4790000000000001</v>
      </c>
      <c r="J435" s="22">
        <f t="shared" si="740"/>
        <v>2.5350000000000001</v>
      </c>
      <c r="K435" s="22">
        <f t="shared" si="740"/>
        <v>3.6840000000000002</v>
      </c>
      <c r="L435" s="23">
        <f>SUM(H435:K435)</f>
        <v>9.8189999999999991</v>
      </c>
      <c r="M435" s="22">
        <f t="shared" si="740"/>
        <v>3.5990000000000002</v>
      </c>
      <c r="N435" s="22">
        <f t="shared" si="740"/>
        <v>20.795999999999999</v>
      </c>
      <c r="O435" s="22">
        <f t="shared" si="740"/>
        <v>17.552</v>
      </c>
      <c r="P435" s="22">
        <f t="shared" si="740"/>
        <v>6.6449999999999996</v>
      </c>
      <c r="Q435" s="23">
        <f>SUM(M435:P435)</f>
        <v>48.591999999999999</v>
      </c>
      <c r="R435" s="22">
        <f t="shared" si="740"/>
        <v>4.3410000000000002</v>
      </c>
      <c r="S435" s="22">
        <f t="shared" si="740"/>
        <v>5.2229999999999999</v>
      </c>
      <c r="T435" s="22">
        <f t="shared" si="740"/>
        <v>4.1550000000000002</v>
      </c>
      <c r="U435" s="22">
        <f t="shared" si="740"/>
        <v>6.3620000000000001</v>
      </c>
      <c r="V435" s="23">
        <f>SUM(R435:U435)</f>
        <v>20.081000000000003</v>
      </c>
      <c r="W435" s="22">
        <f t="shared" si="740"/>
        <v>6.2969999999999997</v>
      </c>
      <c r="X435" s="22">
        <f t="shared" si="740"/>
        <v>8.49</v>
      </c>
      <c r="Y435" s="22">
        <f t="shared" si="740"/>
        <v>9.3960000000000008</v>
      </c>
      <c r="Z435" s="22">
        <f t="shared" si="740"/>
        <v>11.08</v>
      </c>
      <c r="AA435" s="23">
        <f>SUM(W435:Z435)</f>
        <v>35.262999999999998</v>
      </c>
      <c r="AB435" s="22">
        <f t="shared" si="740"/>
        <v>6.1289999999999996</v>
      </c>
      <c r="AC435" s="22">
        <f t="shared" si="740"/>
        <v>6.1980000000000004</v>
      </c>
      <c r="AD435" s="22">
        <f t="shared" si="740"/>
        <v>5.7880000000000003</v>
      </c>
      <c r="AE435" s="22">
        <f t="shared" si="740"/>
        <v>11.359</v>
      </c>
      <c r="AF435" s="23">
        <f>SUM(AB435:AE435)</f>
        <v>29.474000000000004</v>
      </c>
      <c r="AG435" s="22">
        <f t="shared" si="740"/>
        <v>7.5570000000000004</v>
      </c>
      <c r="AH435" s="22">
        <f ca="1">AH422</f>
        <v>10.239526975156553</v>
      </c>
      <c r="AI435" s="22">
        <f t="shared" ca="1" si="740"/>
        <v>10.677344268388657</v>
      </c>
      <c r="AJ435" s="22">
        <f t="shared" ca="1" si="740"/>
        <v>13.455770579465449</v>
      </c>
      <c r="AK435" s="23">
        <f ca="1">SUM(AG435:AJ435)</f>
        <v>41.929641823010662</v>
      </c>
      <c r="AL435" s="23">
        <f ca="1">AL422</f>
        <v>47.188925212318743</v>
      </c>
      <c r="AM435" s="23">
        <f ca="1">AM422</f>
        <v>53.010723406227825</v>
      </c>
      <c r="AN435" s="23">
        <f t="shared" ref="AN435:AT435" ca="1" si="741">AN422</f>
        <v>59.270710221606166</v>
      </c>
      <c r="AO435" s="23">
        <f t="shared" ca="1" si="741"/>
        <v>65.996638070236216</v>
      </c>
      <c r="AP435" s="23">
        <f t="shared" ca="1" si="741"/>
        <v>73.21786621445608</v>
      </c>
      <c r="AQ435" s="23">
        <f t="shared" ca="1" si="741"/>
        <v>80.965448989267841</v>
      </c>
      <c r="AR435" s="23">
        <f t="shared" ca="1" si="741"/>
        <v>89.272228719037699</v>
      </c>
      <c r="AS435" s="23">
        <f t="shared" ca="1" si="741"/>
        <v>98.172933575045761</v>
      </c>
      <c r="AT435" s="23">
        <f t="shared" ca="1" si="741"/>
        <v>107.70428063308803</v>
      </c>
      <c r="AU435" s="8" t="s">
        <v>29</v>
      </c>
    </row>
    <row r="436" spans="1:47" ht="16.2" customHeight="1" x14ac:dyDescent="0.3">
      <c r="B436" s="24" t="s">
        <v>43</v>
      </c>
      <c r="C436" s="21">
        <f t="shared" ref="C436:F436" si="742">C435/C$16</f>
        <v>4.5070723625610151E-3</v>
      </c>
      <c r="D436" s="21">
        <f t="shared" si="742"/>
        <v>0</v>
      </c>
      <c r="E436" s="21">
        <f t="shared" si="742"/>
        <v>3.9536427838474074E-3</v>
      </c>
      <c r="F436" s="21">
        <f t="shared" si="742"/>
        <v>7.4536239446647293E-2</v>
      </c>
      <c r="G436" s="14">
        <f>G435/G16</f>
        <v>3.5799853487075942E-2</v>
      </c>
      <c r="H436" s="21">
        <f t="shared" ref="H436:K436" si="743">H435/H$16</f>
        <v>1.8991414624958799E-3</v>
      </c>
      <c r="I436" s="21">
        <f t="shared" si="743"/>
        <v>3.6838594224843556E-2</v>
      </c>
      <c r="J436" s="21">
        <f t="shared" si="743"/>
        <v>2.0315590719232009E-2</v>
      </c>
      <c r="K436" s="21">
        <f t="shared" si="743"/>
        <v>2.4291364891998724E-2</v>
      </c>
      <c r="L436" s="14">
        <f>L435/L16</f>
        <v>2.2593613126316806E-2</v>
      </c>
      <c r="M436" s="21">
        <f t="shared" ref="M436:P436" si="744">M435/M$16</f>
        <v>3.1984287796381218E-2</v>
      </c>
      <c r="N436" s="21">
        <f t="shared" si="744"/>
        <v>0.15821306573952207</v>
      </c>
      <c r="O436" s="21">
        <f t="shared" si="744"/>
        <v>0.12705306666087574</v>
      </c>
      <c r="P436" s="21">
        <f t="shared" si="744"/>
        <v>3.5858444137454669E-2</v>
      </c>
      <c r="Q436" s="14">
        <f>Q435/Q16</f>
        <v>8.5635836214766323E-2</v>
      </c>
      <c r="R436" s="21">
        <f t="shared" ref="R436:U436" si="745">R435/R$16</f>
        <v>3.0637306796527632E-2</v>
      </c>
      <c r="S436" s="21">
        <f t="shared" si="745"/>
        <v>3.3529045080637532E-2</v>
      </c>
      <c r="T436" s="21">
        <f t="shared" si="745"/>
        <v>2.529253436402033E-2</v>
      </c>
      <c r="U436" s="21">
        <f t="shared" si="745"/>
        <v>2.8664500984469266E-2</v>
      </c>
      <c r="V436" s="14">
        <f>V435/V16</f>
        <v>2.937149394093239E-2</v>
      </c>
      <c r="W436" s="21">
        <f t="shared" ref="W436:Z436" si="746">W435/W$16</f>
        <v>3.883896355416299E-2</v>
      </c>
      <c r="X436" s="21">
        <f t="shared" si="746"/>
        <v>4.4218289392818827E-2</v>
      </c>
      <c r="Y436" s="21">
        <f t="shared" si="746"/>
        <v>4.5983311718501479E-2</v>
      </c>
      <c r="Z436" s="21">
        <f t="shared" si="746"/>
        <v>4.054286456560955E-2</v>
      </c>
      <c r="AA436" s="14">
        <f>AA435/AA16</f>
        <v>4.2395693945000895E-2</v>
      </c>
      <c r="AB436" s="21">
        <f t="shared" ref="AB436:AE436" si="747">AB435/AB$16</f>
        <v>2.8803586702132657E-2</v>
      </c>
      <c r="AC436" s="21">
        <f t="shared" si="747"/>
        <v>2.5601943070993966E-2</v>
      </c>
      <c r="AD436" s="21">
        <f t="shared" si="747"/>
        <v>2.1554468977279924E-2</v>
      </c>
      <c r="AE436" s="21">
        <f t="shared" si="747"/>
        <v>3.515564551571311E-2</v>
      </c>
      <c r="AF436" s="14">
        <f>AF435/AF16</f>
        <v>2.8164034430565543E-2</v>
      </c>
      <c r="AG436" s="21">
        <f t="shared" ref="AG436:AJ436" si="748">AG435/AG$16</f>
        <v>3.0088629468302826E-2</v>
      </c>
      <c r="AH436" s="21">
        <f t="shared" ca="1" si="748"/>
        <v>3.9299990173198504E-2</v>
      </c>
      <c r="AI436" s="21">
        <f t="shared" ca="1" si="748"/>
        <v>3.8812769528504085E-2</v>
      </c>
      <c r="AJ436" s="21">
        <f t="shared" ca="1" si="748"/>
        <v>3.6620305411185702E-2</v>
      </c>
      <c r="AK436" s="14">
        <f t="shared" ref="AK436:AT436" ca="1" si="749">AK435/AK16</f>
        <v>3.6326474743984399E-2</v>
      </c>
      <c r="AL436" s="14">
        <f t="shared" ca="1" si="749"/>
        <v>3.5828629671731498E-2</v>
      </c>
      <c r="AM436" s="14">
        <f t="shared" ca="1" si="749"/>
        <v>3.5387700007412655E-2</v>
      </c>
      <c r="AN436" s="14">
        <f t="shared" ca="1" si="749"/>
        <v>3.5012193394433871E-2</v>
      </c>
      <c r="AO436" s="14">
        <f t="shared" ca="1" si="749"/>
        <v>3.4688595151241085E-2</v>
      </c>
      <c r="AP436" s="14">
        <f t="shared" ca="1" si="749"/>
        <v>3.4406872965228763E-2</v>
      </c>
      <c r="AQ436" s="14">
        <f t="shared" ca="1" si="749"/>
        <v>3.4159423135637142E-2</v>
      </c>
      <c r="AR436" s="14">
        <f t="shared" ca="1" si="749"/>
        <v>3.3940377617876008E-2</v>
      </c>
      <c r="AS436" s="14">
        <f t="shared" ca="1" si="749"/>
        <v>3.374513552380453E-2</v>
      </c>
      <c r="AT436" s="14">
        <f t="shared" ca="1" si="749"/>
        <v>3.3570038601461662E-2</v>
      </c>
      <c r="AU436" s="8" t="s">
        <v>29</v>
      </c>
    </row>
    <row r="437" spans="1:47" ht="7.95" customHeight="1" x14ac:dyDescent="0.3">
      <c r="G437" s="7"/>
      <c r="L437" s="7"/>
      <c r="Q437" s="7"/>
      <c r="V437" s="7"/>
      <c r="AA437" s="7"/>
      <c r="AF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8" t="s">
        <v>29</v>
      </c>
    </row>
    <row r="438" spans="1:47" ht="16.2" customHeight="1" x14ac:dyDescent="0.3">
      <c r="B438" s="20" t="s">
        <v>247</v>
      </c>
      <c r="C438" s="22">
        <f>C424</f>
        <v>-0.57599999999999996</v>
      </c>
      <c r="D438" s="22">
        <f t="shared" ref="D438:AG438" si="750">D424</f>
        <v>-0.62</v>
      </c>
      <c r="E438" s="22">
        <f t="shared" si="750"/>
        <v>-0.496</v>
      </c>
      <c r="F438" s="22">
        <f t="shared" si="750"/>
        <v>-8.7620000000000005</v>
      </c>
      <c r="G438" s="23">
        <f>SUM(C438:F438)</f>
        <v>-10.454000000000001</v>
      </c>
      <c r="H438" s="22">
        <f t="shared" si="750"/>
        <v>1.22</v>
      </c>
      <c r="I438" s="22">
        <f t="shared" si="750"/>
        <v>3.6419999999999999</v>
      </c>
      <c r="J438" s="22">
        <f t="shared" si="750"/>
        <v>-1.7629999999999999</v>
      </c>
      <c r="K438" s="22">
        <f t="shared" si="750"/>
        <v>-1.5249999999999999</v>
      </c>
      <c r="L438" s="23">
        <f>SUM(H438:K438)</f>
        <v>1.5740000000000003</v>
      </c>
      <c r="M438" s="22">
        <f t="shared" si="750"/>
        <v>-0.875</v>
      </c>
      <c r="N438" s="22">
        <f t="shared" si="750"/>
        <v>-10.831</v>
      </c>
      <c r="O438" s="22">
        <f t="shared" si="750"/>
        <v>-10.581</v>
      </c>
      <c r="P438" s="22">
        <f t="shared" si="750"/>
        <v>-1.4510000000000001</v>
      </c>
      <c r="Q438" s="23">
        <f>SUM(M438:P438)</f>
        <v>-23.738</v>
      </c>
      <c r="R438" s="22">
        <f t="shared" si="750"/>
        <v>-1.6910000000000001</v>
      </c>
      <c r="S438" s="22">
        <f t="shared" si="750"/>
        <v>-1.8160000000000001</v>
      </c>
      <c r="T438" s="22">
        <f t="shared" si="750"/>
        <v>-1.8520000000000001</v>
      </c>
      <c r="U438" s="22">
        <f t="shared" si="750"/>
        <v>-1.99</v>
      </c>
      <c r="V438" s="23">
        <f>SUM(R438:U438)</f>
        <v>-7.3490000000000002</v>
      </c>
      <c r="W438" s="22">
        <f t="shared" si="750"/>
        <v>-2.3220000000000001</v>
      </c>
      <c r="X438" s="22">
        <f t="shared" si="750"/>
        <v>-2.5249999999999999</v>
      </c>
      <c r="Y438" s="22">
        <f t="shared" si="750"/>
        <v>-2.8490000000000002</v>
      </c>
      <c r="Z438" s="22">
        <f t="shared" si="750"/>
        <v>-3.278</v>
      </c>
      <c r="AA438" s="23">
        <f>SUM(W438:Z438)</f>
        <v>-10.974</v>
      </c>
      <c r="AB438" s="22">
        <f t="shared" si="750"/>
        <v>-2.5190000000000001</v>
      </c>
      <c r="AC438" s="22">
        <f t="shared" si="750"/>
        <v>-2.92</v>
      </c>
      <c r="AD438" s="22">
        <f t="shared" si="750"/>
        <v>-3.0880000000000001</v>
      </c>
      <c r="AE438" s="22">
        <f t="shared" si="750"/>
        <v>-3.3959999999999999</v>
      </c>
      <c r="AF438" s="23">
        <f>SUM(AB438:AE438)</f>
        <v>-11.923000000000002</v>
      </c>
      <c r="AG438" s="22">
        <f t="shared" si="750"/>
        <v>-3.7250000000000001</v>
      </c>
      <c r="AH438" s="22">
        <f>AH440*AG421</f>
        <v>-3.8767691208005717</v>
      </c>
      <c r="AI438" s="22">
        <f t="shared" ref="AI438:AJ438" ca="1" si="751">AI440*AH421</f>
        <v>-4.1296285513903959</v>
      </c>
      <c r="AJ438" s="22">
        <f t="shared" ca="1" si="751"/>
        <v>-4.3898383072481888</v>
      </c>
      <c r="AK438" s="23">
        <f ca="1">SUM(AG438:AJ438)</f>
        <v>-16.121235979439156</v>
      </c>
      <c r="AL438" s="23">
        <f ca="1">AL440*AK421</f>
        <v>-20.557814610120133</v>
      </c>
      <c r="AM438" s="23">
        <f ca="1">AM440*AL421</f>
        <v>-25.138126969828964</v>
      </c>
      <c r="AN438" s="23">
        <f t="shared" ref="AN438:AT438" ca="1" si="752">AN440*AM421</f>
        <v>-29.931963767017375</v>
      </c>
      <c r="AO438" s="23">
        <f t="shared" ca="1" si="752"/>
        <v>-34.97796522792612</v>
      </c>
      <c r="AP438" s="23">
        <f t="shared" ca="1" si="752"/>
        <v>-40.312898972284053</v>
      </c>
      <c r="AQ438" s="23">
        <f t="shared" ca="1" si="752"/>
        <v>-45.972258448741329</v>
      </c>
      <c r="AR438" s="23">
        <f t="shared" ca="1" si="752"/>
        <v>-51.990773618183312</v>
      </c>
      <c r="AS438" s="23">
        <f t="shared" ca="1" si="752"/>
        <v>-58.402849784930766</v>
      </c>
      <c r="AT438" s="23">
        <f t="shared" ca="1" si="752"/>
        <v>-65.242947783527967</v>
      </c>
      <c r="AU438" s="8" t="s">
        <v>29</v>
      </c>
    </row>
    <row r="439" spans="1:47" ht="16.2" customHeight="1" x14ac:dyDescent="0.3">
      <c r="B439" s="24" t="s">
        <v>43</v>
      </c>
      <c r="C439" s="21">
        <f t="shared" ref="C439:F439" si="753">C438/C$16</f>
        <v>-1.0261160793814799E-2</v>
      </c>
      <c r="D439" s="21">
        <f t="shared" si="753"/>
        <v>-2.6458413348696284E-2</v>
      </c>
      <c r="E439" s="21">
        <f t="shared" si="753"/>
        <v>-7.4847588579706643E-3</v>
      </c>
      <c r="F439" s="21">
        <f t="shared" si="753"/>
        <v>-7.2124409721868982E-2</v>
      </c>
      <c r="G439" s="14">
        <f>G438/G16</f>
        <v>-3.9106757403750463E-2</v>
      </c>
      <c r="H439" s="21">
        <f t="shared" ref="H439:K439" si="754">H438/H$16</f>
        <v>1.9148368464834493E-2</v>
      </c>
      <c r="I439" s="21">
        <f t="shared" si="754"/>
        <v>3.8564576075562004E-2</v>
      </c>
      <c r="J439" s="21">
        <f t="shared" si="754"/>
        <v>-1.41287520465507E-2</v>
      </c>
      <c r="K439" s="21">
        <f t="shared" si="754"/>
        <v>-1.0055464565770372E-2</v>
      </c>
      <c r="L439" s="14">
        <f>L438/L16</f>
        <v>3.6217890885856668E-3</v>
      </c>
      <c r="M439" s="21">
        <f t="shared" ref="M439:P439" si="755">M438/M$16</f>
        <v>-7.7761188724183288E-3</v>
      </c>
      <c r="N439" s="21">
        <f t="shared" si="755"/>
        <v>-8.2400736440890715E-2</v>
      </c>
      <c r="O439" s="21">
        <f t="shared" si="755"/>
        <v>-7.6592325566244651E-2</v>
      </c>
      <c r="P439" s="21">
        <f t="shared" si="755"/>
        <v>-7.8300379899844588E-3</v>
      </c>
      <c r="Q439" s="14">
        <f>Q438/Q16</f>
        <v>-4.1834529965140824E-2</v>
      </c>
      <c r="R439" s="21">
        <f t="shared" ref="R439:U439" si="756">R438/R$16</f>
        <v>-1.1934504905074458E-2</v>
      </c>
      <c r="S439" s="21">
        <f t="shared" si="756"/>
        <v>-1.165781081111196E-2</v>
      </c>
      <c r="T439" s="21">
        <f t="shared" si="756"/>
        <v>-1.1273591730966462E-2</v>
      </c>
      <c r="U439" s="21">
        <f t="shared" si="756"/>
        <v>-8.9661045204485756E-3</v>
      </c>
      <c r="V439" s="14">
        <f>V438/V16</f>
        <v>-1.074902190986067E-2</v>
      </c>
      <c r="W439" s="21">
        <f t="shared" ref="W439:Z439" si="757">W438/W$16</f>
        <v>-1.4321752163374063E-2</v>
      </c>
      <c r="X439" s="21">
        <f t="shared" si="757"/>
        <v>-1.3150904678076268E-2</v>
      </c>
      <c r="Y439" s="21">
        <f t="shared" si="757"/>
        <v>-1.3942790026182495E-2</v>
      </c>
      <c r="Z439" s="21">
        <f t="shared" si="757"/>
        <v>-1.1994540617876184E-2</v>
      </c>
      <c r="AA439" s="14">
        <f>AA438/AA16</f>
        <v>-1.3193725586377785E-2</v>
      </c>
      <c r="AB439" s="21">
        <f t="shared" ref="AB439:AE439" si="758">AB438/AB$16</f>
        <v>-1.1838184842987791E-2</v>
      </c>
      <c r="AC439" s="21">
        <f t="shared" si="758"/>
        <v>-1.2061580149613161E-2</v>
      </c>
      <c r="AD439" s="21">
        <f t="shared" si="758"/>
        <v>-1.1499689046620663E-2</v>
      </c>
      <c r="AE439" s="21">
        <f t="shared" si="758"/>
        <v>-1.0510482627992052E-2</v>
      </c>
      <c r="AF439" s="14">
        <f>AF438/AF16</f>
        <v>-1.1393084838014282E-2</v>
      </c>
      <c r="AG439" s="21">
        <f t="shared" ref="AG439:AJ439" si="759">AG438/AG$16</f>
        <v>-1.4831301411860265E-2</v>
      </c>
      <c r="AH439" s="21">
        <f t="shared" si="759"/>
        <v>-1.4879299475539736E-2</v>
      </c>
      <c r="AI439" s="21">
        <f t="shared" ca="1" si="759"/>
        <v>-1.501144078288994E-2</v>
      </c>
      <c r="AJ439" s="21">
        <f t="shared" ca="1" si="759"/>
        <v>-1.1947083860249456E-2</v>
      </c>
      <c r="AK439" s="14">
        <f t="shared" ref="AK439:AT439" ca="1" si="760">AK438/AK16</f>
        <v>-1.3966913290623943E-2</v>
      </c>
      <c r="AL439" s="14">
        <f t="shared" ca="1" si="760"/>
        <v>-1.5608711646050074E-2</v>
      </c>
      <c r="AM439" s="14">
        <f t="shared" ca="1" si="760"/>
        <v>-1.6781142357548861E-2</v>
      </c>
      <c r="AN439" s="14">
        <f t="shared" ca="1" si="760"/>
        <v>-1.7681308359014304E-2</v>
      </c>
      <c r="AO439" s="14">
        <f t="shared" ca="1" si="760"/>
        <v>-1.8384822477084922E-2</v>
      </c>
      <c r="AP439" s="14">
        <f t="shared" ca="1" si="760"/>
        <v>-1.8944020981666115E-2</v>
      </c>
      <c r="AQ439" s="14">
        <f t="shared" ca="1" si="760"/>
        <v>-1.939575273719019E-2</v>
      </c>
      <c r="AR439" s="14">
        <f t="shared" ca="1" si="760"/>
        <v>-1.976635415701615E-2</v>
      </c>
      <c r="AS439" s="14">
        <f t="shared" ca="1" si="760"/>
        <v>-2.0074902615213698E-2</v>
      </c>
      <c r="AT439" s="14">
        <f t="shared" ca="1" si="760"/>
        <v>-2.0335387439497213E-2</v>
      </c>
      <c r="AU439" s="8" t="s">
        <v>29</v>
      </c>
    </row>
    <row r="440" spans="1:47" ht="16.2" customHeight="1" x14ac:dyDescent="0.3">
      <c r="B440" s="24" t="s">
        <v>248</v>
      </c>
      <c r="D440" s="21">
        <f>D438/C421</f>
        <v>-6.3200815494393478E-2</v>
      </c>
      <c r="E440" s="21">
        <f t="shared" ref="E440:AE440" si="761">E438/D421</f>
        <v>-5.3971708378672476E-2</v>
      </c>
      <c r="F440" s="21">
        <f t="shared" si="761"/>
        <v>-0.97833854399285403</v>
      </c>
      <c r="G440" s="14"/>
      <c r="H440" s="21">
        <f>H438/F421</f>
        <v>0.13192326823676978</v>
      </c>
      <c r="I440" s="21">
        <f t="shared" si="761"/>
        <v>0.34394182642364718</v>
      </c>
      <c r="J440" s="21">
        <f t="shared" si="761"/>
        <v>-0.13209950546980367</v>
      </c>
      <c r="K440" s="21">
        <f t="shared" si="761"/>
        <v>-0.10819439517559418</v>
      </c>
      <c r="L440" s="14">
        <f>L438/F421</f>
        <v>0.17020264279071776</v>
      </c>
      <c r="M440" s="21">
        <f>M438/K421</f>
        <v>-5.3899223851176535E-2</v>
      </c>
      <c r="N440" s="21">
        <f t="shared" si="761"/>
        <v>-0.57131553961388337</v>
      </c>
      <c r="O440" s="21">
        <f t="shared" si="761"/>
        <v>-0.36583341976973344</v>
      </c>
      <c r="P440" s="21">
        <f t="shared" si="761"/>
        <v>-4.1533089077169683E-2</v>
      </c>
      <c r="Q440" s="14">
        <f>Q438/K421</f>
        <v>-1.4622397437476899</v>
      </c>
      <c r="R440" s="21">
        <f>R438/P421</f>
        <v>-4.2137001320674793E-2</v>
      </c>
      <c r="S440" s="21">
        <f t="shared" si="761"/>
        <v>-4.2448750613590144E-2</v>
      </c>
      <c r="T440" s="21">
        <f t="shared" si="761"/>
        <v>-4.0096994890447733E-2</v>
      </c>
      <c r="U440" s="21">
        <f t="shared" si="761"/>
        <v>-4.1047008106268434E-2</v>
      </c>
      <c r="V440" s="14">
        <f>V438/P421</f>
        <v>-0.18312526475791782</v>
      </c>
      <c r="W440" s="21">
        <f>W438/U421</f>
        <v>-4.4121838599958198E-2</v>
      </c>
      <c r="X440" s="21">
        <f t="shared" si="761"/>
        <v>-4.48561937076975E-2</v>
      </c>
      <c r="Y440" s="21">
        <f t="shared" si="761"/>
        <v>-4.5791343202018747E-2</v>
      </c>
      <c r="Z440" s="21">
        <f t="shared" si="761"/>
        <v>-4.7707062915690358E-2</v>
      </c>
      <c r="AA440" s="14">
        <f>AA438/U421</f>
        <v>-0.20852414160031923</v>
      </c>
      <c r="AB440" s="21">
        <f>AB438/Z421</f>
        <v>-3.2952657535680184E-2</v>
      </c>
      <c r="AC440" s="21">
        <f t="shared" si="761"/>
        <v>-3.6475834759471852E-2</v>
      </c>
      <c r="AD440" s="21">
        <f t="shared" si="761"/>
        <v>-3.7076169436173284E-2</v>
      </c>
      <c r="AE440" s="21">
        <f t="shared" si="761"/>
        <v>-3.9585494643835456E-2</v>
      </c>
      <c r="AF440" s="14">
        <f>AF438/Z421</f>
        <v>-0.15597242389754459</v>
      </c>
      <c r="AG440" s="21">
        <f>AG438/AE421</f>
        <v>-3.9740539617850699E-2</v>
      </c>
      <c r="AH440" s="78">
        <f>AG440</f>
        <v>-3.9740539617850699E-2</v>
      </c>
      <c r="AI440" s="78">
        <f t="shared" ref="AI440:AJ440" si="762">AH440</f>
        <v>-3.9740539617850699E-2</v>
      </c>
      <c r="AJ440" s="78">
        <f t="shared" si="762"/>
        <v>-3.9740539617850699E-2</v>
      </c>
      <c r="AK440" s="79">
        <f ca="1">AK438/AE421</f>
        <v>-0.17199103815560321</v>
      </c>
      <c r="AL440" s="27">
        <f ca="1">AK440</f>
        <v>-0.17199103815560321</v>
      </c>
      <c r="AM440" s="27">
        <f ca="1">AL440</f>
        <v>-0.17199103815560321</v>
      </c>
      <c r="AN440" s="27">
        <f t="shared" ref="AN440:AT440" ca="1" si="763">AM440</f>
        <v>-0.17199103815560321</v>
      </c>
      <c r="AO440" s="27">
        <f t="shared" ca="1" si="763"/>
        <v>-0.17199103815560321</v>
      </c>
      <c r="AP440" s="27">
        <f t="shared" ca="1" si="763"/>
        <v>-0.17199103815560321</v>
      </c>
      <c r="AQ440" s="27">
        <f t="shared" ca="1" si="763"/>
        <v>-0.17199103815560321</v>
      </c>
      <c r="AR440" s="27">
        <f t="shared" ca="1" si="763"/>
        <v>-0.17199103815560321</v>
      </c>
      <c r="AS440" s="27">
        <f t="shared" ca="1" si="763"/>
        <v>-0.17199103815560321</v>
      </c>
      <c r="AT440" s="27">
        <f t="shared" ca="1" si="763"/>
        <v>-0.17199103815560321</v>
      </c>
      <c r="AU440" s="8" t="s">
        <v>29</v>
      </c>
    </row>
    <row r="441" spans="1:47" ht="7.95" customHeight="1" x14ac:dyDescent="0.3">
      <c r="G441" s="7"/>
      <c r="L441" s="7"/>
      <c r="Q441" s="7"/>
      <c r="V441" s="7"/>
      <c r="AA441" s="7"/>
      <c r="AF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8" t="s">
        <v>29</v>
      </c>
    </row>
    <row r="442" spans="1:47" ht="16.2" customHeight="1" x14ac:dyDescent="0.3">
      <c r="B442" s="6" t="s">
        <v>249</v>
      </c>
      <c r="C442" s="37"/>
      <c r="D442" s="37" t="str">
        <f t="shared" ref="D442:AD442" si="764">IF(ABS(D421-C421-D422-D423-D424)&gt;0.1,"Erro","Ok")</f>
        <v>Ok</v>
      </c>
      <c r="E442" s="37" t="str">
        <f t="shared" si="764"/>
        <v>Ok</v>
      </c>
      <c r="F442" s="37" t="str">
        <f t="shared" si="764"/>
        <v>Ok</v>
      </c>
      <c r="G442" s="38"/>
      <c r="H442" s="37" t="str">
        <f>IF(ABS(H421-F421-H422-H423-H424)&gt;0.1,"Erro","Ok")</f>
        <v>Ok</v>
      </c>
      <c r="I442" s="37" t="str">
        <f t="shared" si="764"/>
        <v>Ok</v>
      </c>
      <c r="J442" s="37" t="str">
        <f t="shared" si="764"/>
        <v>Ok</v>
      </c>
      <c r="K442" s="37" t="str">
        <f t="shared" si="764"/>
        <v>Ok</v>
      </c>
      <c r="L442" s="38" t="str">
        <f>IF(ABS(L421-F421-L422-L423-L424)&gt;0.1,"Erro","Ok")</f>
        <v>Ok</v>
      </c>
      <c r="M442" s="37" t="str">
        <f>IF(ABS(M421-K421-M422-M423-M424)&gt;0.1,"Erro","Ok")</f>
        <v>Ok</v>
      </c>
      <c r="N442" s="37" t="str">
        <f t="shared" si="764"/>
        <v>Ok</v>
      </c>
      <c r="O442" s="37" t="str">
        <f t="shared" si="764"/>
        <v>Ok</v>
      </c>
      <c r="P442" s="37" t="str">
        <f t="shared" si="764"/>
        <v>Ok</v>
      </c>
      <c r="Q442" s="38" t="str">
        <f>IF(ABS(Q421-K421-Q422-Q423-Q424)&gt;0.1,"Erro","Ok")</f>
        <v>Ok</v>
      </c>
      <c r="R442" s="37" t="str">
        <f>IF(ABS(R421-P421-R422-R423-R424)&gt;0.1,"Erro","Ok")</f>
        <v>Ok</v>
      </c>
      <c r="S442" s="37" t="str">
        <f t="shared" si="764"/>
        <v>Ok</v>
      </c>
      <c r="T442" s="37" t="str">
        <f t="shared" si="764"/>
        <v>Ok</v>
      </c>
      <c r="U442" s="37" t="str">
        <f t="shared" si="764"/>
        <v>Ok</v>
      </c>
      <c r="V442" s="38" t="str">
        <f>IF(ABS(V421-P421-V422-V423-V424)&gt;0.1,"Erro","Ok")</f>
        <v>Ok</v>
      </c>
      <c r="W442" s="37" t="str">
        <f>IF(ABS(W421-U421-W422-W423-W424)&gt;0.1,"Erro","Ok")</f>
        <v>Ok</v>
      </c>
      <c r="X442" s="37" t="str">
        <f t="shared" si="764"/>
        <v>Ok</v>
      </c>
      <c r="Y442" s="37" t="str">
        <f t="shared" si="764"/>
        <v>Ok</v>
      </c>
      <c r="Z442" s="37" t="str">
        <f t="shared" si="764"/>
        <v>Ok</v>
      </c>
      <c r="AA442" s="38" t="str">
        <f>IF(ABS(AA421-U421-AA422-AA423-AA424)&gt;0.1,"Erro","Ok")</f>
        <v>Ok</v>
      </c>
      <c r="AB442" s="37" t="str">
        <f>IF(ABS(AB421-Z421-AB422-AB423-AB424)&gt;0.1,"Erro","Ok")</f>
        <v>Ok</v>
      </c>
      <c r="AC442" s="37" t="str">
        <f t="shared" si="764"/>
        <v>Ok</v>
      </c>
      <c r="AD442" s="37" t="str">
        <f t="shared" si="764"/>
        <v>Ok</v>
      </c>
      <c r="AE442" s="37" t="str">
        <f>IF(ABS(AE421-AD421-AE422-AE423-AE424)&gt;0.1,"Erro","Ok")</f>
        <v>Ok</v>
      </c>
      <c r="AF442" s="38" t="str">
        <f>IF(ABS(AF421-Z421-AF422-AF423-AF424)&gt;0.1,"Erro","Ok")</f>
        <v>Ok</v>
      </c>
      <c r="AG442" s="37" t="str">
        <f>IF(ABS(AG421-AE421-AG422-AG423-AG424)&gt;0.1,"Erro","Ok")</f>
        <v>Ok</v>
      </c>
      <c r="AH442" s="167"/>
      <c r="AI442" s="167"/>
      <c r="AJ442" s="167"/>
      <c r="AK442" s="168"/>
      <c r="AL442" s="168"/>
      <c r="AM442" s="168"/>
      <c r="AN442" s="168"/>
      <c r="AO442" s="168"/>
      <c r="AP442" s="168"/>
      <c r="AQ442" s="168"/>
      <c r="AR442" s="168"/>
      <c r="AS442" s="168"/>
      <c r="AT442" s="168"/>
      <c r="AU442" s="8" t="s">
        <v>29</v>
      </c>
    </row>
    <row r="443" spans="1:47" ht="16.2" customHeight="1" x14ac:dyDescent="0.3">
      <c r="B443" s="6" t="s">
        <v>250</v>
      </c>
      <c r="C443" s="37" t="str">
        <f t="shared" ref="C443:AE443" si="765">IF(ABS(C426-C430-C427-C428-C429-C431-C432-C433)&gt;0.1,"Erro","Ok")</f>
        <v>Ok</v>
      </c>
      <c r="D443" s="37" t="str">
        <f t="shared" si="765"/>
        <v>Ok</v>
      </c>
      <c r="E443" s="37" t="str">
        <f t="shared" si="765"/>
        <v>Ok</v>
      </c>
      <c r="F443" s="37" t="str">
        <f t="shared" si="765"/>
        <v>Ok</v>
      </c>
      <c r="G443" s="38" t="str">
        <f>IF(ABS(G426-G430-G427-G428-G429-G431-G432-G433)&gt;0.1,"Erro","Ok")</f>
        <v>Ok</v>
      </c>
      <c r="H443" s="37" t="str">
        <f t="shared" si="765"/>
        <v>Ok</v>
      </c>
      <c r="I443" s="37" t="str">
        <f t="shared" si="765"/>
        <v>Ok</v>
      </c>
      <c r="J443" s="37" t="str">
        <f t="shared" si="765"/>
        <v>Ok</v>
      </c>
      <c r="K443" s="37" t="str">
        <f t="shared" si="765"/>
        <v>Ok</v>
      </c>
      <c r="L443" s="38" t="str">
        <f>IF(ABS(L426-L430-L427-L428-L429-L431-L432-L433)&gt;0.1,"Erro","Ok")</f>
        <v>Ok</v>
      </c>
      <c r="M443" s="37" t="str">
        <f t="shared" si="765"/>
        <v>Ok</v>
      </c>
      <c r="N443" s="37" t="str">
        <f t="shared" si="765"/>
        <v>Ok</v>
      </c>
      <c r="O443" s="37" t="str">
        <f t="shared" si="765"/>
        <v>Ok</v>
      </c>
      <c r="P443" s="37" t="str">
        <f t="shared" si="765"/>
        <v>Ok</v>
      </c>
      <c r="Q443" s="38" t="str">
        <f>IF(ABS(Q426-Q430-Q427-Q428-Q429-Q431-Q432-Q433)&gt;0.1,"Erro","Ok")</f>
        <v>Ok</v>
      </c>
      <c r="R443" s="37" t="str">
        <f t="shared" si="765"/>
        <v>Ok</v>
      </c>
      <c r="S443" s="37" t="str">
        <f t="shared" si="765"/>
        <v>Ok</v>
      </c>
      <c r="T443" s="37" t="str">
        <f t="shared" si="765"/>
        <v>Ok</v>
      </c>
      <c r="U443" s="37" t="str">
        <f t="shared" si="765"/>
        <v>Ok</v>
      </c>
      <c r="V443" s="38" t="str">
        <f>IF(ABS(V426-V430-V427-V428-V429-V431-V432-V433)&gt;0.1,"Erro","Ok")</f>
        <v>Ok</v>
      </c>
      <c r="W443" s="37" t="str">
        <f t="shared" si="765"/>
        <v>Ok</v>
      </c>
      <c r="X443" s="37" t="str">
        <f t="shared" si="765"/>
        <v>Ok</v>
      </c>
      <c r="Y443" s="37" t="str">
        <f t="shared" si="765"/>
        <v>Ok</v>
      </c>
      <c r="Z443" s="37" t="str">
        <f t="shared" si="765"/>
        <v>Ok</v>
      </c>
      <c r="AA443" s="38" t="str">
        <f>IF(ABS(AA426-AA430-AA427-AA428-AA429-AA431-AA432-AA433)&gt;0.1,"Erro","Ok")</f>
        <v>Ok</v>
      </c>
      <c r="AB443" s="37" t="str">
        <f t="shared" si="765"/>
        <v>Ok</v>
      </c>
      <c r="AC443" s="37" t="str">
        <f t="shared" si="765"/>
        <v>Ok</v>
      </c>
      <c r="AD443" s="37" t="str">
        <f t="shared" si="765"/>
        <v>Ok</v>
      </c>
      <c r="AE443" s="37" t="str">
        <f t="shared" si="765"/>
        <v>Ok</v>
      </c>
      <c r="AF443" s="38" t="str">
        <f>IF(ABS(AF426-AF430-AF427-AF428-AF429-AF431-AF432-AF433)&gt;0.1,"Erro","Ok")</f>
        <v>Ok</v>
      </c>
      <c r="AG443" s="37" t="str">
        <f>IF(ABS(AG426-AG430-AG427-AG428-AG429-AG431-AG432-AG433)&gt;0.1,"Erro","Ok")</f>
        <v>Ok</v>
      </c>
      <c r="AH443" s="167"/>
      <c r="AI443" s="167"/>
      <c r="AJ443" s="167"/>
      <c r="AK443" s="168"/>
      <c r="AL443" s="168"/>
      <c r="AM443" s="168"/>
      <c r="AN443" s="168"/>
      <c r="AO443" s="168"/>
      <c r="AP443" s="168"/>
      <c r="AQ443" s="168"/>
      <c r="AR443" s="168"/>
      <c r="AS443" s="168"/>
      <c r="AT443" s="168"/>
      <c r="AU443" s="8" t="s">
        <v>29</v>
      </c>
    </row>
    <row r="444" spans="1:47" ht="7.95" customHeight="1" x14ac:dyDescent="0.3">
      <c r="G444" s="7"/>
      <c r="L444" s="7"/>
      <c r="Q444" s="7"/>
      <c r="V444" s="7"/>
      <c r="AA444" s="7"/>
      <c r="AF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8" t="s">
        <v>29</v>
      </c>
    </row>
    <row r="445" spans="1:47" ht="16.2" customHeight="1" x14ac:dyDescent="0.3">
      <c r="A445" s="9" t="s">
        <v>30</v>
      </c>
      <c r="B445" s="10" t="s">
        <v>251</v>
      </c>
      <c r="C445" s="11"/>
      <c r="D445" s="11"/>
      <c r="E445" s="11"/>
      <c r="F445" s="11"/>
      <c r="G445" s="12"/>
      <c r="H445" s="11"/>
      <c r="I445" s="11"/>
      <c r="J445" s="11"/>
      <c r="K445" s="11"/>
      <c r="L445" s="12"/>
      <c r="M445" s="11"/>
      <c r="N445" s="11"/>
      <c r="O445" s="11"/>
      <c r="P445" s="11"/>
      <c r="Q445" s="12"/>
      <c r="R445" s="11"/>
      <c r="S445" s="11"/>
      <c r="T445" s="11"/>
      <c r="U445" s="11"/>
      <c r="V445" s="12"/>
      <c r="W445" s="11"/>
      <c r="X445" s="11"/>
      <c r="Y445" s="11"/>
      <c r="Z445" s="11"/>
      <c r="AA445" s="12"/>
      <c r="AB445" s="11"/>
      <c r="AC445" s="11"/>
      <c r="AD445" s="11"/>
      <c r="AE445" s="11"/>
      <c r="AF445" s="12"/>
      <c r="AG445" s="11"/>
      <c r="AH445" s="11"/>
      <c r="AI445" s="11"/>
      <c r="AJ445" s="11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8" t="s">
        <v>29</v>
      </c>
    </row>
    <row r="446" spans="1:47" ht="7.95" customHeight="1" x14ac:dyDescent="0.3">
      <c r="G446" s="7"/>
      <c r="L446" s="7"/>
      <c r="Q446" s="7"/>
      <c r="V446" s="7"/>
      <c r="AA446" s="7"/>
      <c r="AF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8" t="s">
        <v>29</v>
      </c>
    </row>
    <row r="447" spans="1:47" ht="16.2" customHeight="1" x14ac:dyDescent="0.3">
      <c r="B447" s="5" t="s">
        <v>217</v>
      </c>
      <c r="C447" s="28">
        <f>C66</f>
        <v>1.7569999999999999</v>
      </c>
      <c r="D447" s="28">
        <f>D66</f>
        <v>1.615</v>
      </c>
      <c r="E447" s="28">
        <f>E66</f>
        <v>1.474</v>
      </c>
      <c r="F447" s="28">
        <f>F66</f>
        <v>1.4511999999999998</v>
      </c>
      <c r="G447" s="29">
        <f>F447</f>
        <v>1.4511999999999998</v>
      </c>
      <c r="H447" s="28">
        <f>H66</f>
        <v>1.8009999999999999</v>
      </c>
      <c r="I447" s="28">
        <f>I66</f>
        <v>2.512</v>
      </c>
      <c r="J447" s="28">
        <f>J66</f>
        <v>3.7389999999999999</v>
      </c>
      <c r="K447" s="28">
        <f>K66</f>
        <v>4.9749999999999996</v>
      </c>
      <c r="L447" s="29">
        <f>K447</f>
        <v>4.9749999999999996</v>
      </c>
      <c r="M447" s="28">
        <f>M66</f>
        <v>5.9619999999999997</v>
      </c>
      <c r="N447" s="28">
        <f>N66</f>
        <v>6.8789999999999996</v>
      </c>
      <c r="O447" s="28">
        <f>O66</f>
        <v>9.3659999999999997</v>
      </c>
      <c r="P447" s="28">
        <f>P66</f>
        <v>10.948</v>
      </c>
      <c r="Q447" s="29">
        <f>P447</f>
        <v>10.948</v>
      </c>
      <c r="R447" s="28">
        <f>R66</f>
        <v>13.051</v>
      </c>
      <c r="S447" s="28">
        <f>S66</f>
        <v>14.651999999999999</v>
      </c>
      <c r="T447" s="28">
        <f>T66</f>
        <v>19.827999999999999</v>
      </c>
      <c r="U447" s="28">
        <f>U66</f>
        <v>20.686</v>
      </c>
      <c r="V447" s="29">
        <f>U447</f>
        <v>20.686</v>
      </c>
      <c r="W447" s="28">
        <f>W66</f>
        <v>24.395</v>
      </c>
      <c r="X447" s="28">
        <f>X66</f>
        <v>24.501999999999999</v>
      </c>
      <c r="Y447" s="28">
        <f>Y66</f>
        <v>25.954999999999998</v>
      </c>
      <c r="Z447" s="28">
        <f>Z66</f>
        <v>25.02</v>
      </c>
      <c r="AA447" s="29">
        <f>Z447</f>
        <v>25.02</v>
      </c>
      <c r="AB447" s="28">
        <f>AB66</f>
        <v>26.259</v>
      </c>
      <c r="AC447" s="28">
        <f>AC66</f>
        <v>28.547000000000001</v>
      </c>
      <c r="AD447" s="28">
        <f>AD66</f>
        <v>30.393000000000001</v>
      </c>
      <c r="AE447" s="28">
        <f>AE66</f>
        <v>24.462</v>
      </c>
      <c r="AF447" s="29">
        <f>AE447</f>
        <v>24.462</v>
      </c>
      <c r="AG447" s="28">
        <f>AG66</f>
        <v>26.908000000000001</v>
      </c>
      <c r="AH447" s="18">
        <f>AG447+AH448+AH449</f>
        <v>27.629918253310006</v>
      </c>
      <c r="AI447" s="18">
        <f t="shared" ref="AI447:AJ447" si="766">AH447+AI448+AI449</f>
        <v>28.446811446479401</v>
      </c>
      <c r="AJ447" s="18">
        <f t="shared" si="766"/>
        <v>30.129936163285105</v>
      </c>
      <c r="AK447" s="19">
        <f>AJ447</f>
        <v>30.129936163285105</v>
      </c>
      <c r="AL447" s="19">
        <f>AK447+AL448+AL449</f>
        <v>35.932827153790754</v>
      </c>
      <c r="AM447" s="19">
        <f>AL447+AM448+AM449</f>
        <v>42.034054184600265</v>
      </c>
      <c r="AN447" s="19">
        <f t="shared" ref="AN447:AT447" si="767">AM447+AN448+AN449</f>
        <v>48.501144173855096</v>
      </c>
      <c r="AO447" s="19">
        <f t="shared" si="767"/>
        <v>55.391416833368091</v>
      </c>
      <c r="AP447" s="19">
        <f t="shared" si="767"/>
        <v>62.755628293710018</v>
      </c>
      <c r="AQ447" s="19">
        <f t="shared" si="767"/>
        <v>70.640554627271882</v>
      </c>
      <c r="AR447" s="19">
        <f t="shared" si="767"/>
        <v>79.090834767415771</v>
      </c>
      <c r="AS447" s="19">
        <f t="shared" si="767"/>
        <v>88.150296636408754</v>
      </c>
      <c r="AT447" s="19">
        <f t="shared" si="767"/>
        <v>97.862923297603231</v>
      </c>
      <c r="AU447" s="8" t="s">
        <v>29</v>
      </c>
    </row>
    <row r="448" spans="1:47" ht="16.2" customHeight="1" x14ac:dyDescent="0.3">
      <c r="B448" s="20" t="s">
        <v>236</v>
      </c>
      <c r="C448" s="22">
        <v>4.8000000000000001E-2</v>
      </c>
      <c r="D448" s="22">
        <v>2.8000000000000001E-2</v>
      </c>
      <c r="E448" s="22">
        <v>3.2000000000000001E-2</v>
      </c>
      <c r="F448" s="22">
        <v>0.14799999999999999</v>
      </c>
      <c r="G448" s="23">
        <f>SUM(C448:F448)</f>
        <v>0.25600000000000001</v>
      </c>
      <c r="H448" s="22">
        <v>0.42499999999999999</v>
      </c>
      <c r="I448" s="22">
        <v>0.79100000000000004</v>
      </c>
      <c r="J448" s="22">
        <v>1.3069999999999999</v>
      </c>
      <c r="K448" s="22">
        <v>1.3180000000000001</v>
      </c>
      <c r="L448" s="23">
        <f>SUM(H448:K448)</f>
        <v>3.8409999999999997</v>
      </c>
      <c r="M448" s="22">
        <v>1.3420000000000001</v>
      </c>
      <c r="N448" s="22">
        <v>1.3380000000000001</v>
      </c>
      <c r="O448" s="22">
        <v>3.0219999999999998</v>
      </c>
      <c r="P448" s="22">
        <v>2.2469999999999999</v>
      </c>
      <c r="Q448" s="23">
        <f>SUM(M448:P448)</f>
        <v>7.9489999999999998</v>
      </c>
      <c r="R448" s="22">
        <v>2.9</v>
      </c>
      <c r="S448" s="22">
        <v>2.5299999999999998</v>
      </c>
      <c r="T448" s="22">
        <v>6.2270000000000003</v>
      </c>
      <c r="U448" s="22">
        <v>1.9750000000000001</v>
      </c>
      <c r="V448" s="23">
        <f>SUM(R448:U448)</f>
        <v>13.632</v>
      </c>
      <c r="W448" s="22">
        <v>5.008</v>
      </c>
      <c r="X448" s="22">
        <v>1.468</v>
      </c>
      <c r="Y448" s="22">
        <v>2.919</v>
      </c>
      <c r="Z448" s="22">
        <v>0.52300000000000002</v>
      </c>
      <c r="AA448" s="23">
        <f>SUM(W448:Z448)</f>
        <v>9.9179999999999993</v>
      </c>
      <c r="AB448" s="22">
        <v>2.7949999999999999</v>
      </c>
      <c r="AC448" s="22">
        <v>5.5839999999999996</v>
      </c>
      <c r="AD448" s="22">
        <v>4.0419999999999998</v>
      </c>
      <c r="AE448" s="22">
        <v>4.2119999999999997</v>
      </c>
      <c r="AF448" s="23">
        <f>SUM(AB448:AE448)</f>
        <v>16.632999999999999</v>
      </c>
      <c r="AG448" s="22">
        <v>3.97</v>
      </c>
      <c r="AH448" s="22">
        <f t="shared" ref="AH448:AJ448" si="768">AH391</f>
        <v>2.6054782533100029</v>
      </c>
      <c r="AI448" s="22">
        <f t="shared" si="768"/>
        <v>2.7509874709010957</v>
      </c>
      <c r="AJ448" s="22">
        <f t="shared" si="768"/>
        <v>3.67440151805926</v>
      </c>
      <c r="AK448" s="23">
        <f>SUM(AG448:AJ448)</f>
        <v>13.00086724227036</v>
      </c>
      <c r="AL448" s="23">
        <f>AL391</f>
        <v>14.834889408443484</v>
      </c>
      <c r="AM448" s="23">
        <f>AM391</f>
        <v>16.87274796089854</v>
      </c>
      <c r="AN448" s="23">
        <f t="shared" ref="AN448:AT448" si="769">AN391</f>
        <v>19.067565106007574</v>
      </c>
      <c r="AO448" s="23">
        <f t="shared" si="769"/>
        <v>21.429376063928295</v>
      </c>
      <c r="AP448" s="23">
        <f t="shared" si="769"/>
        <v>23.968799883464815</v>
      </c>
      <c r="AQ448" s="23">
        <f t="shared" si="769"/>
        <v>26.697071583181387</v>
      </c>
      <c r="AR448" s="23">
        <f t="shared" si="769"/>
        <v>29.626076005693633</v>
      </c>
      <c r="AS448" s="23">
        <f t="shared" si="769"/>
        <v>32.768383475111492</v>
      </c>
      <c r="AT448" s="23">
        <f t="shared" si="769"/>
        <v>36.137287352343684</v>
      </c>
      <c r="AU448" s="8" t="s">
        <v>29</v>
      </c>
    </row>
    <row r="449" spans="2:47" ht="16.2" customHeight="1" x14ac:dyDescent="0.3">
      <c r="B449" s="20" t="s">
        <v>252</v>
      </c>
      <c r="C449" s="22">
        <v>-0.16400000000000001</v>
      </c>
      <c r="D449" s="22">
        <v>-0.17499999999999999</v>
      </c>
      <c r="E449" s="22">
        <v>-0.16800000000000001</v>
      </c>
      <c r="F449" s="22">
        <v>-0.17100000000000001</v>
      </c>
      <c r="G449" s="23">
        <f>SUM(C449:F449)</f>
        <v>-0.67800000000000005</v>
      </c>
      <c r="H449" s="22">
        <v>-7.4999999999999997E-2</v>
      </c>
      <c r="I449" s="22">
        <v>-0.08</v>
      </c>
      <c r="J449" s="22">
        <v>-0.08</v>
      </c>
      <c r="K449" s="22">
        <v>-8.2000000000000003E-2</v>
      </c>
      <c r="L449" s="23">
        <f>SUM(H449:K449)</f>
        <v>-0.317</v>
      </c>
      <c r="M449" s="22">
        <v>-0.35499999999999998</v>
      </c>
      <c r="N449" s="22">
        <v>-0.42099999999999999</v>
      </c>
      <c r="O449" s="22">
        <v>-0.53500000000000003</v>
      </c>
      <c r="P449" s="22">
        <v>-0.66600000000000004</v>
      </c>
      <c r="Q449" s="23">
        <f>SUM(M449:P449)</f>
        <v>-1.9769999999999999</v>
      </c>
      <c r="R449" s="22">
        <v>-0.79700000000000004</v>
      </c>
      <c r="S449" s="22">
        <v>-0.92900000000000005</v>
      </c>
      <c r="T449" s="22">
        <v>-1.0509999999999999</v>
      </c>
      <c r="U449" s="22">
        <v>-1.117</v>
      </c>
      <c r="V449" s="23">
        <f>SUM(R449:U449)</f>
        <v>-3.8940000000000001</v>
      </c>
      <c r="W449" s="22">
        <v>-1.2989999999999999</v>
      </c>
      <c r="X449" s="22">
        <v>-1.361</v>
      </c>
      <c r="Y449" s="22">
        <v>-1.466</v>
      </c>
      <c r="Z449" s="22">
        <v>-1.458</v>
      </c>
      <c r="AA449" s="23">
        <f>SUM(W449:Z449)</f>
        <v>-5.5840000000000005</v>
      </c>
      <c r="AB449" s="22">
        <v>-1.556</v>
      </c>
      <c r="AC449" s="22">
        <v>-1.9430000000000001</v>
      </c>
      <c r="AD449" s="22">
        <v>-2.1960000000000002</v>
      </c>
      <c r="AE449" s="22">
        <v>-2.2829999999999999</v>
      </c>
      <c r="AF449" s="23">
        <f>SUM(AB449:AE449)</f>
        <v>-7.9779999999999998</v>
      </c>
      <c r="AG449" s="22">
        <v>-1.524</v>
      </c>
      <c r="AH449" s="22">
        <f>AH460</f>
        <v>-1.8835600000000003</v>
      </c>
      <c r="AI449" s="22">
        <f t="shared" ref="AI449:AJ449" si="770">AI460</f>
        <v>-1.9340942777317005</v>
      </c>
      <c r="AJ449" s="22">
        <f t="shared" si="770"/>
        <v>-1.9912768012535582</v>
      </c>
      <c r="AK449" s="23">
        <f>SUM(AG449:AJ449)</f>
        <v>-7.3329310789852595</v>
      </c>
      <c r="AL449" s="23">
        <f>AL460</f>
        <v>-9.0319984179378316</v>
      </c>
      <c r="AM449" s="23">
        <f>AM460</f>
        <v>-10.771520930089022</v>
      </c>
      <c r="AN449" s="23">
        <f t="shared" ref="AN449:AT449" si="771">AN460</f>
        <v>-12.600475116752746</v>
      </c>
      <c r="AO449" s="23">
        <f t="shared" si="771"/>
        <v>-14.539103404415291</v>
      </c>
      <c r="AP449" s="23">
        <f t="shared" si="771"/>
        <v>-16.604588423122891</v>
      </c>
      <c r="AQ449" s="23">
        <f t="shared" si="771"/>
        <v>-18.812145249619526</v>
      </c>
      <c r="AR449" s="23">
        <f t="shared" si="771"/>
        <v>-21.175795865549748</v>
      </c>
      <c r="AS449" s="23">
        <f t="shared" si="771"/>
        <v>-23.708921606118512</v>
      </c>
      <c r="AT449" s="23">
        <f t="shared" si="771"/>
        <v>-26.424660691149192</v>
      </c>
      <c r="AU449" s="8" t="s">
        <v>29</v>
      </c>
    </row>
    <row r="450" spans="2:47" ht="16.2" customHeight="1" x14ac:dyDescent="0.3">
      <c r="B450" s="20" t="s">
        <v>253</v>
      </c>
      <c r="C450" s="22"/>
      <c r="D450" s="22"/>
      <c r="E450" s="22"/>
      <c r="F450" s="22"/>
      <c r="G450" s="23"/>
      <c r="H450" s="22"/>
      <c r="I450" s="22"/>
      <c r="J450" s="22"/>
      <c r="K450" s="22"/>
      <c r="L450" s="23"/>
      <c r="M450" s="22"/>
      <c r="N450" s="22"/>
      <c r="O450" s="22"/>
      <c r="P450" s="22"/>
      <c r="Q450" s="23"/>
      <c r="R450" s="22"/>
      <c r="S450" s="22"/>
      <c r="T450" s="22"/>
      <c r="U450" s="22"/>
      <c r="V450" s="23"/>
      <c r="W450" s="22"/>
      <c r="X450" s="22"/>
      <c r="Y450" s="22"/>
      <c r="Z450" s="22"/>
      <c r="AA450" s="23"/>
      <c r="AB450" s="22"/>
      <c r="AC450" s="22">
        <v>-1.3529999999999993</v>
      </c>
      <c r="AD450" s="22"/>
      <c r="AE450" s="22">
        <v>-7.8600000000000012</v>
      </c>
      <c r="AF450" s="23">
        <f>SUM(AB450:AE450)</f>
        <v>-9.213000000000001</v>
      </c>
      <c r="AG450" s="22"/>
      <c r="AK450" s="62"/>
      <c r="AL450" s="62"/>
      <c r="AM450" s="62"/>
      <c r="AN450" s="62"/>
      <c r="AO450" s="62"/>
      <c r="AP450" s="62"/>
      <c r="AQ450" s="62"/>
      <c r="AR450" s="62"/>
      <c r="AS450" s="62"/>
      <c r="AT450" s="62"/>
      <c r="AU450" s="8" t="s">
        <v>29</v>
      </c>
    </row>
    <row r="451" spans="2:47" ht="7.95" customHeight="1" x14ac:dyDescent="0.3">
      <c r="G451" s="7"/>
      <c r="L451" s="7"/>
      <c r="Q451" s="7"/>
      <c r="V451" s="7"/>
      <c r="AA451" s="7"/>
      <c r="AF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8" t="s">
        <v>29</v>
      </c>
    </row>
    <row r="452" spans="2:47" ht="16.2" customHeight="1" x14ac:dyDescent="0.3">
      <c r="B452" s="5" t="s">
        <v>217</v>
      </c>
      <c r="C452" s="28">
        <f>C447</f>
        <v>1.7569999999999999</v>
      </c>
      <c r="D452" s="28">
        <f t="shared" ref="D452:AG452" si="772">D447</f>
        <v>1.615</v>
      </c>
      <c r="E452" s="28">
        <f t="shared" si="772"/>
        <v>1.474</v>
      </c>
      <c r="F452" s="28">
        <f t="shared" si="772"/>
        <v>1.4511999999999998</v>
      </c>
      <c r="G452" s="29">
        <f>F452</f>
        <v>1.4511999999999998</v>
      </c>
      <c r="H452" s="28">
        <f t="shared" si="772"/>
        <v>1.8009999999999999</v>
      </c>
      <c r="I452" s="28">
        <f t="shared" si="772"/>
        <v>2.512</v>
      </c>
      <c r="J452" s="28">
        <f t="shared" si="772"/>
        <v>3.7389999999999999</v>
      </c>
      <c r="K452" s="28">
        <f t="shared" si="772"/>
        <v>4.9749999999999996</v>
      </c>
      <c r="L452" s="29">
        <f>K452</f>
        <v>4.9749999999999996</v>
      </c>
      <c r="M452" s="28">
        <f t="shared" si="772"/>
        <v>5.9619999999999997</v>
      </c>
      <c r="N452" s="28">
        <f t="shared" si="772"/>
        <v>6.8789999999999996</v>
      </c>
      <c r="O452" s="28">
        <f t="shared" si="772"/>
        <v>9.3659999999999997</v>
      </c>
      <c r="P452" s="28">
        <f t="shared" si="772"/>
        <v>10.948</v>
      </c>
      <c r="Q452" s="29">
        <f>P452</f>
        <v>10.948</v>
      </c>
      <c r="R452" s="28">
        <f t="shared" si="772"/>
        <v>13.051</v>
      </c>
      <c r="S452" s="28">
        <f t="shared" si="772"/>
        <v>14.651999999999999</v>
      </c>
      <c r="T452" s="28">
        <f t="shared" si="772"/>
        <v>19.827999999999999</v>
      </c>
      <c r="U452" s="28">
        <f t="shared" si="772"/>
        <v>20.686</v>
      </c>
      <c r="V452" s="29">
        <f>U452</f>
        <v>20.686</v>
      </c>
      <c r="W452" s="28">
        <f t="shared" si="772"/>
        <v>24.395</v>
      </c>
      <c r="X452" s="28">
        <f t="shared" si="772"/>
        <v>24.501999999999999</v>
      </c>
      <c r="Y452" s="28">
        <f t="shared" si="772"/>
        <v>25.954999999999998</v>
      </c>
      <c r="Z452" s="28">
        <f t="shared" si="772"/>
        <v>25.02</v>
      </c>
      <c r="AA452" s="29">
        <f>Z452</f>
        <v>25.02</v>
      </c>
      <c r="AB452" s="28">
        <f t="shared" si="772"/>
        <v>26.259</v>
      </c>
      <c r="AC452" s="28">
        <f t="shared" si="772"/>
        <v>28.547000000000001</v>
      </c>
      <c r="AD452" s="28">
        <f t="shared" si="772"/>
        <v>30.393000000000001</v>
      </c>
      <c r="AE452" s="28">
        <f t="shared" si="772"/>
        <v>24.462</v>
      </c>
      <c r="AF452" s="29">
        <f>AE452</f>
        <v>24.462</v>
      </c>
      <c r="AG452" s="28">
        <f t="shared" si="772"/>
        <v>26.908000000000001</v>
      </c>
      <c r="AH452" s="18">
        <f>AH447</f>
        <v>27.629918253310006</v>
      </c>
      <c r="AI452" s="18">
        <f t="shared" ref="AI452:AJ452" si="773">AI447</f>
        <v>28.446811446479401</v>
      </c>
      <c r="AJ452" s="18">
        <f t="shared" si="773"/>
        <v>30.129936163285105</v>
      </c>
      <c r="AK452" s="19">
        <f>AJ452</f>
        <v>30.129936163285105</v>
      </c>
      <c r="AL452" s="19">
        <f>AL447</f>
        <v>35.932827153790754</v>
      </c>
      <c r="AM452" s="19">
        <f>AM447</f>
        <v>42.034054184600265</v>
      </c>
      <c r="AN452" s="19">
        <f t="shared" ref="AN452:AT452" si="774">AN447</f>
        <v>48.501144173855096</v>
      </c>
      <c r="AO452" s="19">
        <f t="shared" si="774"/>
        <v>55.391416833368091</v>
      </c>
      <c r="AP452" s="19">
        <f t="shared" si="774"/>
        <v>62.755628293710018</v>
      </c>
      <c r="AQ452" s="19">
        <f t="shared" si="774"/>
        <v>70.640554627271882</v>
      </c>
      <c r="AR452" s="19">
        <f t="shared" si="774"/>
        <v>79.090834767415771</v>
      </c>
      <c r="AS452" s="19">
        <f t="shared" si="774"/>
        <v>88.150296636408754</v>
      </c>
      <c r="AT452" s="19">
        <f t="shared" si="774"/>
        <v>97.862923297603231</v>
      </c>
      <c r="AU452" s="8" t="s">
        <v>29</v>
      </c>
    </row>
    <row r="453" spans="2:47" ht="16.2" customHeight="1" x14ac:dyDescent="0.3">
      <c r="B453" s="20" t="s">
        <v>254</v>
      </c>
      <c r="C453" s="22">
        <v>0.32</v>
      </c>
      <c r="D453" s="22">
        <v>0.255</v>
      </c>
      <c r="E453" s="22">
        <v>0.19</v>
      </c>
      <c r="F453" s="22">
        <v>0.125</v>
      </c>
      <c r="G453" s="23">
        <f>F453</f>
        <v>0.125</v>
      </c>
      <c r="H453" s="22">
        <v>0.11</v>
      </c>
      <c r="I453" s="22">
        <v>9.5000000000000001E-2</v>
      </c>
      <c r="J453" s="22">
        <v>8.1000000000000003E-2</v>
      </c>
      <c r="K453" s="22">
        <v>6.6000000000000003E-2</v>
      </c>
      <c r="L453" s="23">
        <f>K453</f>
        <v>6.6000000000000003E-2</v>
      </c>
      <c r="M453" s="22">
        <v>0.19700000000000001</v>
      </c>
      <c r="N453" s="22">
        <v>0.32800000000000001</v>
      </c>
      <c r="O453" s="22">
        <v>0.45900000000000002</v>
      </c>
      <c r="P453" s="22">
        <v>0.59</v>
      </c>
      <c r="Q453" s="23">
        <f>P453</f>
        <v>0.59</v>
      </c>
      <c r="R453" s="22">
        <v>0.55300000000000005</v>
      </c>
      <c r="S453" s="22">
        <v>0.51600000000000001</v>
      </c>
      <c r="T453" s="22">
        <v>1.198</v>
      </c>
      <c r="U453" s="22">
        <v>1.1240000000000001</v>
      </c>
      <c r="V453" s="23">
        <f>U453</f>
        <v>1.1240000000000001</v>
      </c>
      <c r="W453" s="22">
        <v>2.9369999999999998</v>
      </c>
      <c r="X453" s="22">
        <v>2.7919999999999998</v>
      </c>
      <c r="Y453" s="22">
        <v>3.1160000000000001</v>
      </c>
      <c r="Z453" s="22">
        <v>2.456</v>
      </c>
      <c r="AA453" s="23">
        <f>Z453</f>
        <v>2.456</v>
      </c>
      <c r="AB453" s="22">
        <v>2.2869999999999999</v>
      </c>
      <c r="AC453" s="22">
        <v>0.85699999999999998</v>
      </c>
      <c r="AD453" s="22">
        <v>0.77900000000000003</v>
      </c>
      <c r="AE453" s="22">
        <v>0.70099999999999996</v>
      </c>
      <c r="AF453" s="23">
        <f>AE453</f>
        <v>0.70099999999999996</v>
      </c>
      <c r="AG453" s="22">
        <v>0.623</v>
      </c>
      <c r="AH453" s="167"/>
      <c r="AI453" s="167"/>
      <c r="AJ453" s="167"/>
      <c r="AK453" s="168"/>
      <c r="AL453" s="168"/>
      <c r="AM453" s="168"/>
      <c r="AN453" s="168"/>
      <c r="AO453" s="168"/>
      <c r="AP453" s="168"/>
      <c r="AQ453" s="168"/>
      <c r="AR453" s="168"/>
      <c r="AS453" s="168"/>
      <c r="AT453" s="168"/>
      <c r="AU453" s="8" t="s">
        <v>29</v>
      </c>
    </row>
    <row r="454" spans="2:47" ht="16.2" customHeight="1" x14ac:dyDescent="0.3">
      <c r="B454" s="20" t="s">
        <v>255</v>
      </c>
      <c r="C454" s="22">
        <v>7.1999999999999995E-2</v>
      </c>
      <c r="D454" s="22">
        <v>7.1999999999999995E-2</v>
      </c>
      <c r="E454" s="22">
        <v>7.1999999999999995E-2</v>
      </c>
      <c r="F454" s="22">
        <v>7.1999999999999995E-2</v>
      </c>
      <c r="G454" s="23">
        <f>F454</f>
        <v>7.1999999999999995E-2</v>
      </c>
      <c r="H454" s="22">
        <v>7.1999999999999995E-2</v>
      </c>
      <c r="I454" s="22">
        <v>7.1999999999999995E-2</v>
      </c>
      <c r="J454" s="22">
        <v>7.1999999999999995E-2</v>
      </c>
      <c r="K454" s="22">
        <v>7.1999999999999995E-2</v>
      </c>
      <c r="L454" s="23">
        <f>K454</f>
        <v>7.1999999999999995E-2</v>
      </c>
      <c r="M454" s="22">
        <v>7.1999999999999995E-2</v>
      </c>
      <c r="N454" s="22">
        <v>7.1999999999999995E-2</v>
      </c>
      <c r="O454" s="22">
        <v>7.1999999999999995E-2</v>
      </c>
      <c r="P454" s="22">
        <v>7.1999999999999995E-2</v>
      </c>
      <c r="Q454" s="23">
        <f>P454</f>
        <v>7.1999999999999995E-2</v>
      </c>
      <c r="R454" s="22">
        <v>7.1999999999999995E-2</v>
      </c>
      <c r="S454" s="22">
        <v>7.1999999999999995E-2</v>
      </c>
      <c r="T454" s="22">
        <v>7.1999999999999995E-2</v>
      </c>
      <c r="U454" s="22">
        <v>7.1999999999999995E-2</v>
      </c>
      <c r="V454" s="23">
        <f>U454</f>
        <v>7.1999999999999995E-2</v>
      </c>
      <c r="W454" s="22">
        <v>7.1999999999999995E-2</v>
      </c>
      <c r="X454" s="22">
        <v>7.1999999999999995E-2</v>
      </c>
      <c r="Y454" s="22">
        <v>7.1999999999999995E-2</v>
      </c>
      <c r="Z454" s="22">
        <v>7.1999999999999995E-2</v>
      </c>
      <c r="AA454" s="23">
        <f>Z454</f>
        <v>7.1999999999999995E-2</v>
      </c>
      <c r="AB454" s="22">
        <v>7.1999999999999995E-2</v>
      </c>
      <c r="AC454" s="22">
        <v>7.1999999999999995E-2</v>
      </c>
      <c r="AD454" s="22">
        <v>7.1999999999999995E-2</v>
      </c>
      <c r="AE454" s="22">
        <v>7.1999999999999995E-2</v>
      </c>
      <c r="AF454" s="23">
        <f>AE454</f>
        <v>7.1999999999999995E-2</v>
      </c>
      <c r="AG454" s="22">
        <v>7.1999999999999995E-2</v>
      </c>
      <c r="AH454" s="167"/>
      <c r="AI454" s="167"/>
      <c r="AJ454" s="167"/>
      <c r="AK454" s="168"/>
      <c r="AL454" s="168"/>
      <c r="AM454" s="168"/>
      <c r="AN454" s="168"/>
      <c r="AO454" s="168"/>
      <c r="AP454" s="168"/>
      <c r="AQ454" s="168"/>
      <c r="AR454" s="168"/>
      <c r="AS454" s="168"/>
      <c r="AT454" s="168"/>
      <c r="AU454" s="8" t="s">
        <v>29</v>
      </c>
    </row>
    <row r="455" spans="2:47" ht="16.2" customHeight="1" x14ac:dyDescent="0.3">
      <c r="B455" s="20" t="s">
        <v>256</v>
      </c>
      <c r="C455" s="22">
        <v>1.365</v>
      </c>
      <c r="D455" s="22">
        <v>1.288</v>
      </c>
      <c r="E455" s="22">
        <v>1.212</v>
      </c>
      <c r="F455" s="22">
        <v>1.254</v>
      </c>
      <c r="G455" s="23">
        <f>F455</f>
        <v>1.254</v>
      </c>
      <c r="H455" s="22">
        <v>1.619</v>
      </c>
      <c r="I455" s="22">
        <v>2.3450000000000002</v>
      </c>
      <c r="J455" s="22">
        <v>3.5859999999999999</v>
      </c>
      <c r="K455" s="22">
        <v>4.8369999999999997</v>
      </c>
      <c r="L455" s="23">
        <f>K455</f>
        <v>4.8369999999999997</v>
      </c>
      <c r="M455" s="22">
        <v>5.6929999999999996</v>
      </c>
      <c r="N455" s="22">
        <v>6.4790000000000001</v>
      </c>
      <c r="O455" s="22">
        <v>8.8350000000000009</v>
      </c>
      <c r="P455" s="22">
        <v>10.286</v>
      </c>
      <c r="Q455" s="23">
        <f>P455</f>
        <v>10.286</v>
      </c>
      <c r="R455" s="22">
        <v>12.426</v>
      </c>
      <c r="S455" s="22">
        <v>14.064</v>
      </c>
      <c r="T455" s="22">
        <v>18.558</v>
      </c>
      <c r="U455" s="22">
        <v>19.489999999999998</v>
      </c>
      <c r="V455" s="23">
        <f>U455</f>
        <v>19.489999999999998</v>
      </c>
      <c r="W455" s="22">
        <v>21.385999999999999</v>
      </c>
      <c r="X455" s="22">
        <v>21.638000000000002</v>
      </c>
      <c r="Y455" s="22">
        <v>22.766999999999999</v>
      </c>
      <c r="Z455" s="22">
        <v>22.492000000000001</v>
      </c>
      <c r="AA455" s="23">
        <f>Z455</f>
        <v>22.492000000000001</v>
      </c>
      <c r="AB455" s="22">
        <v>23.9</v>
      </c>
      <c r="AC455" s="22">
        <v>27.617999999999999</v>
      </c>
      <c r="AD455" s="22">
        <v>29.542000000000002</v>
      </c>
      <c r="AE455" s="22">
        <v>23.689</v>
      </c>
      <c r="AF455" s="23">
        <f>AE455</f>
        <v>23.689</v>
      </c>
      <c r="AG455" s="22">
        <v>26.213000000000001</v>
      </c>
      <c r="AH455" s="167"/>
      <c r="AI455" s="167"/>
      <c r="AJ455" s="167"/>
      <c r="AK455" s="168"/>
      <c r="AL455" s="168"/>
      <c r="AM455" s="168"/>
      <c r="AN455" s="168"/>
      <c r="AO455" s="168"/>
      <c r="AP455" s="168"/>
      <c r="AQ455" s="168"/>
      <c r="AR455" s="168"/>
      <c r="AS455" s="168"/>
      <c r="AT455" s="168"/>
      <c r="AU455" s="8" t="s">
        <v>29</v>
      </c>
    </row>
    <row r="456" spans="2:47" ht="7.95" customHeight="1" x14ac:dyDescent="0.3">
      <c r="G456" s="7"/>
      <c r="L456" s="7"/>
      <c r="Q456" s="7"/>
      <c r="V456" s="7"/>
      <c r="AA456" s="7"/>
      <c r="AF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8" t="s">
        <v>29</v>
      </c>
    </row>
    <row r="457" spans="2:47" ht="16.2" customHeight="1" x14ac:dyDescent="0.3">
      <c r="B457" s="20" t="s">
        <v>246</v>
      </c>
      <c r="C457" s="22">
        <f>C448</f>
        <v>4.8000000000000001E-2</v>
      </c>
      <c r="D457" s="22">
        <f t="shared" ref="D457:AJ457" si="775">D448</f>
        <v>2.8000000000000001E-2</v>
      </c>
      <c r="E457" s="22">
        <f t="shared" si="775"/>
        <v>3.2000000000000001E-2</v>
      </c>
      <c r="F457" s="22">
        <f t="shared" si="775"/>
        <v>0.14799999999999999</v>
      </c>
      <c r="G457" s="23">
        <f>SUM(C457:F457)</f>
        <v>0.25600000000000001</v>
      </c>
      <c r="H457" s="22">
        <f t="shared" si="775"/>
        <v>0.42499999999999999</v>
      </c>
      <c r="I457" s="22">
        <f t="shared" si="775"/>
        <v>0.79100000000000004</v>
      </c>
      <c r="J457" s="22">
        <f t="shared" si="775"/>
        <v>1.3069999999999999</v>
      </c>
      <c r="K457" s="22">
        <f t="shared" si="775"/>
        <v>1.3180000000000001</v>
      </c>
      <c r="L457" s="23">
        <f>SUM(H457:K457)</f>
        <v>3.8409999999999997</v>
      </c>
      <c r="M457" s="22">
        <f t="shared" si="775"/>
        <v>1.3420000000000001</v>
      </c>
      <c r="N457" s="22">
        <f t="shared" si="775"/>
        <v>1.3380000000000001</v>
      </c>
      <c r="O457" s="22">
        <f t="shared" si="775"/>
        <v>3.0219999999999998</v>
      </c>
      <c r="P457" s="22">
        <f t="shared" si="775"/>
        <v>2.2469999999999999</v>
      </c>
      <c r="Q457" s="23">
        <f>SUM(M457:P457)</f>
        <v>7.9489999999999998</v>
      </c>
      <c r="R457" s="22">
        <f t="shared" si="775"/>
        <v>2.9</v>
      </c>
      <c r="S457" s="22">
        <f t="shared" si="775"/>
        <v>2.5299999999999998</v>
      </c>
      <c r="T457" s="22">
        <f t="shared" si="775"/>
        <v>6.2270000000000003</v>
      </c>
      <c r="U457" s="22">
        <f t="shared" si="775"/>
        <v>1.9750000000000001</v>
      </c>
      <c r="V457" s="23">
        <f>SUM(R457:U457)</f>
        <v>13.632</v>
      </c>
      <c r="W457" s="22">
        <f t="shared" si="775"/>
        <v>5.008</v>
      </c>
      <c r="X457" s="22">
        <f t="shared" si="775"/>
        <v>1.468</v>
      </c>
      <c r="Y457" s="22">
        <f t="shared" si="775"/>
        <v>2.919</v>
      </c>
      <c r="Z457" s="22">
        <f t="shared" si="775"/>
        <v>0.52300000000000002</v>
      </c>
      <c r="AA457" s="23">
        <f>SUM(W457:Z457)</f>
        <v>9.9179999999999993</v>
      </c>
      <c r="AB457" s="22">
        <f t="shared" si="775"/>
        <v>2.7949999999999999</v>
      </c>
      <c r="AC457" s="22">
        <f t="shared" si="775"/>
        <v>5.5839999999999996</v>
      </c>
      <c r="AD457" s="22">
        <f t="shared" si="775"/>
        <v>4.0419999999999998</v>
      </c>
      <c r="AE457" s="22">
        <f t="shared" si="775"/>
        <v>4.2119999999999997</v>
      </c>
      <c r="AF457" s="23">
        <f>SUM(AB457:AE457)</f>
        <v>16.632999999999999</v>
      </c>
      <c r="AG457" s="22">
        <f>AG448</f>
        <v>3.97</v>
      </c>
      <c r="AH457" s="22">
        <f t="shared" si="775"/>
        <v>2.6054782533100029</v>
      </c>
      <c r="AI457" s="22">
        <f t="shared" si="775"/>
        <v>2.7509874709010957</v>
      </c>
      <c r="AJ457" s="22">
        <f t="shared" si="775"/>
        <v>3.67440151805926</v>
      </c>
      <c r="AK457" s="23">
        <f>SUM(AG457:AJ457)</f>
        <v>13.00086724227036</v>
      </c>
      <c r="AL457" s="23">
        <f>AL448</f>
        <v>14.834889408443484</v>
      </c>
      <c r="AM457" s="23">
        <f>AM448</f>
        <v>16.87274796089854</v>
      </c>
      <c r="AN457" s="23">
        <f t="shared" ref="AN457:AT457" si="776">AN448</f>
        <v>19.067565106007574</v>
      </c>
      <c r="AO457" s="23">
        <f t="shared" si="776"/>
        <v>21.429376063928295</v>
      </c>
      <c r="AP457" s="23">
        <f t="shared" si="776"/>
        <v>23.968799883464815</v>
      </c>
      <c r="AQ457" s="23">
        <f t="shared" si="776"/>
        <v>26.697071583181387</v>
      </c>
      <c r="AR457" s="23">
        <f t="shared" si="776"/>
        <v>29.626076005693633</v>
      </c>
      <c r="AS457" s="23">
        <f t="shared" si="776"/>
        <v>32.768383475111492</v>
      </c>
      <c r="AT457" s="23">
        <f t="shared" si="776"/>
        <v>36.137287352343684</v>
      </c>
      <c r="AU457" s="8" t="s">
        <v>29</v>
      </c>
    </row>
    <row r="458" spans="2:47" ht="16.2" customHeight="1" x14ac:dyDescent="0.3">
      <c r="B458" s="24" t="s">
        <v>43</v>
      </c>
      <c r="C458" s="21">
        <f t="shared" ref="C458:F458" si="777">C457/C$16</f>
        <v>8.5509673281790007E-4</v>
      </c>
      <c r="D458" s="21">
        <f t="shared" si="777"/>
        <v>1.1948960867153161E-3</v>
      </c>
      <c r="E458" s="21">
        <f t="shared" si="777"/>
        <v>4.828876682561719E-4</v>
      </c>
      <c r="F458" s="21">
        <f t="shared" si="777"/>
        <v>1.2182621135399007E-3</v>
      </c>
      <c r="G458" s="14">
        <f>G457/G16</f>
        <v>9.576554328831182E-4</v>
      </c>
      <c r="H458" s="21">
        <f t="shared" ref="H458:K458" si="778">H457/H$16</f>
        <v>6.6705381947169337E-3</v>
      </c>
      <c r="I458" s="21">
        <f t="shared" si="778"/>
        <v>8.3757769565539677E-3</v>
      </c>
      <c r="J458" s="21">
        <f t="shared" si="778"/>
        <v>1.0474349929008375E-2</v>
      </c>
      <c r="K458" s="21">
        <f t="shared" si="778"/>
        <v>8.6905588837281004E-3</v>
      </c>
      <c r="L458" s="14">
        <f>L457/L16</f>
        <v>8.8381778203669263E-3</v>
      </c>
      <c r="M458" s="21">
        <f t="shared" ref="M458:P458" si="779">M457/M$16</f>
        <v>1.1926344602040454E-2</v>
      </c>
      <c r="N458" s="21">
        <f t="shared" si="779"/>
        <v>1.0179317270603987E-2</v>
      </c>
      <c r="O458" s="21">
        <f t="shared" si="779"/>
        <v>2.1875248829145766E-2</v>
      </c>
      <c r="P458" s="21">
        <f t="shared" si="779"/>
        <v>1.2125496460024174E-2</v>
      </c>
      <c r="Q458" s="14">
        <f>Q457/Q16</f>
        <v>1.4008875166100953E-2</v>
      </c>
      <c r="R458" s="21">
        <f t="shared" ref="R458:U458" si="780">R457/R$16</f>
        <v>2.0467217164231773E-2</v>
      </c>
      <c r="S458" s="21">
        <f t="shared" si="780"/>
        <v>1.62413333436747E-2</v>
      </c>
      <c r="T458" s="21">
        <f t="shared" si="780"/>
        <v>3.7905321656980649E-2</v>
      </c>
      <c r="U458" s="21">
        <f t="shared" si="780"/>
        <v>8.8985208180331343E-3</v>
      </c>
      <c r="V458" s="14">
        <f>V457/V16</f>
        <v>1.9938857895662083E-2</v>
      </c>
      <c r="W458" s="21">
        <f t="shared" ref="W458:Z458" si="781">W457/W$16</f>
        <v>3.0888602426432946E-2</v>
      </c>
      <c r="X458" s="21">
        <f t="shared" si="781"/>
        <v>7.6457536900657276E-3</v>
      </c>
      <c r="Y458" s="21">
        <f t="shared" si="781"/>
        <v>1.4285364719700492E-2</v>
      </c>
      <c r="Z458" s="21">
        <f t="shared" si="781"/>
        <v>1.9137110259759744E-3</v>
      </c>
      <c r="AA458" s="14">
        <f>AA457/AA16</f>
        <v>1.1924127060843344E-2</v>
      </c>
      <c r="AB458" s="21">
        <f t="shared" ref="AB458:AE458" si="782">AB457/AB$16</f>
        <v>1.3135262658257593E-2</v>
      </c>
      <c r="AC458" s="21">
        <f t="shared" si="782"/>
        <v>2.3065706697068457E-2</v>
      </c>
      <c r="AD458" s="21">
        <f t="shared" si="782"/>
        <v>1.50523779554536E-2</v>
      </c>
      <c r="AE458" s="21">
        <f t="shared" si="782"/>
        <v>1.3035969619877068E-2</v>
      </c>
      <c r="AF458" s="14">
        <f>AF457/AF16</f>
        <v>1.589374990444448E-2</v>
      </c>
      <c r="AG458" s="21">
        <f t="shared" ref="AG458:AJ458" si="783">AG457/AG$16</f>
        <v>1.5806782981230939E-2</v>
      </c>
      <c r="AH458" s="21">
        <f t="shared" si="783"/>
        <v>0.01</v>
      </c>
      <c r="AI458" s="21">
        <f t="shared" si="783"/>
        <v>0.01</v>
      </c>
      <c r="AJ458" s="21">
        <f t="shared" si="783"/>
        <v>0.01</v>
      </c>
      <c r="AK458" s="14">
        <f t="shared" ref="AK458:AT458" si="784">AK457/AK16</f>
        <v>1.1263527542633267E-2</v>
      </c>
      <c r="AL458" s="14">
        <f t="shared" si="784"/>
        <v>1.1263527542633267E-2</v>
      </c>
      <c r="AM458" s="14">
        <f t="shared" si="784"/>
        <v>1.1263527542633265E-2</v>
      </c>
      <c r="AN458" s="14">
        <f t="shared" si="784"/>
        <v>1.1263527542633267E-2</v>
      </c>
      <c r="AO458" s="14">
        <f t="shared" si="784"/>
        <v>1.1263527542633267E-2</v>
      </c>
      <c r="AP458" s="14">
        <f t="shared" si="784"/>
        <v>1.1263527542633267E-2</v>
      </c>
      <c r="AQ458" s="14">
        <f t="shared" si="784"/>
        <v>1.1263527542633267E-2</v>
      </c>
      <c r="AR458" s="14">
        <f t="shared" si="784"/>
        <v>1.1263527542633267E-2</v>
      </c>
      <c r="AS458" s="14">
        <f t="shared" si="784"/>
        <v>1.1263527542633267E-2</v>
      </c>
      <c r="AT458" s="14">
        <f t="shared" si="784"/>
        <v>1.1263527542633265E-2</v>
      </c>
      <c r="AU458" s="8" t="s">
        <v>29</v>
      </c>
    </row>
    <row r="459" spans="2:47" ht="7.95" customHeight="1" x14ac:dyDescent="0.3">
      <c r="G459" s="7"/>
      <c r="L459" s="7"/>
      <c r="Q459" s="7"/>
      <c r="V459" s="7"/>
      <c r="AA459" s="7"/>
      <c r="AF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8" t="s">
        <v>29</v>
      </c>
    </row>
    <row r="460" spans="2:47" ht="16.2" customHeight="1" x14ac:dyDescent="0.3">
      <c r="B460" s="20" t="s">
        <v>257</v>
      </c>
      <c r="C460" s="22">
        <f>C449</f>
        <v>-0.16400000000000001</v>
      </c>
      <c r="D460" s="22">
        <f t="shared" ref="D460:AG460" si="785">D449</f>
        <v>-0.17499999999999999</v>
      </c>
      <c r="E460" s="22">
        <f t="shared" si="785"/>
        <v>-0.16800000000000001</v>
      </c>
      <c r="F460" s="22">
        <f t="shared" si="785"/>
        <v>-0.17100000000000001</v>
      </c>
      <c r="G460" s="23">
        <f>SUM(C460:F460)</f>
        <v>-0.67800000000000005</v>
      </c>
      <c r="H460" s="22">
        <f t="shared" si="785"/>
        <v>-7.4999999999999997E-2</v>
      </c>
      <c r="I460" s="22">
        <f t="shared" si="785"/>
        <v>-0.08</v>
      </c>
      <c r="J460" s="22">
        <f t="shared" si="785"/>
        <v>-0.08</v>
      </c>
      <c r="K460" s="22">
        <f t="shared" si="785"/>
        <v>-8.2000000000000003E-2</v>
      </c>
      <c r="L460" s="23">
        <f>SUM(H460:K460)</f>
        <v>-0.317</v>
      </c>
      <c r="M460" s="22">
        <f t="shared" si="785"/>
        <v>-0.35499999999999998</v>
      </c>
      <c r="N460" s="22">
        <f t="shared" si="785"/>
        <v>-0.42099999999999999</v>
      </c>
      <c r="O460" s="22">
        <f t="shared" si="785"/>
        <v>-0.53500000000000003</v>
      </c>
      <c r="P460" s="22">
        <f t="shared" si="785"/>
        <v>-0.66600000000000004</v>
      </c>
      <c r="Q460" s="23">
        <f>SUM(M460:P460)</f>
        <v>-1.9769999999999999</v>
      </c>
      <c r="R460" s="22">
        <f t="shared" si="785"/>
        <v>-0.79700000000000004</v>
      </c>
      <c r="S460" s="22">
        <f t="shared" si="785"/>
        <v>-0.92900000000000005</v>
      </c>
      <c r="T460" s="22">
        <f t="shared" si="785"/>
        <v>-1.0509999999999999</v>
      </c>
      <c r="U460" s="22">
        <f t="shared" si="785"/>
        <v>-1.117</v>
      </c>
      <c r="V460" s="23">
        <f>SUM(R460:U460)</f>
        <v>-3.8940000000000001</v>
      </c>
      <c r="W460" s="22">
        <f t="shared" si="785"/>
        <v>-1.2989999999999999</v>
      </c>
      <c r="X460" s="22">
        <f t="shared" si="785"/>
        <v>-1.361</v>
      </c>
      <c r="Y460" s="22">
        <f t="shared" si="785"/>
        <v>-1.466</v>
      </c>
      <c r="Z460" s="22">
        <f t="shared" si="785"/>
        <v>-1.458</v>
      </c>
      <c r="AA460" s="23">
        <f>SUM(W460:Z460)</f>
        <v>-5.5840000000000005</v>
      </c>
      <c r="AB460" s="22">
        <f t="shared" si="785"/>
        <v>-1.556</v>
      </c>
      <c r="AC460" s="22">
        <f t="shared" si="785"/>
        <v>-1.9430000000000001</v>
      </c>
      <c r="AD460" s="22">
        <f t="shared" si="785"/>
        <v>-2.1960000000000002</v>
      </c>
      <c r="AE460" s="22">
        <f t="shared" si="785"/>
        <v>-2.2829999999999999</v>
      </c>
      <c r="AF460" s="23">
        <f>SUM(AB460:AE460)</f>
        <v>-7.9779999999999998</v>
      </c>
      <c r="AG460" s="22">
        <f t="shared" si="785"/>
        <v>-1.524</v>
      </c>
      <c r="AH460" s="22">
        <f>AH462*AG447</f>
        <v>-1.8835600000000003</v>
      </c>
      <c r="AI460" s="22">
        <f t="shared" ref="AI460:AJ460" si="786">AI462*AH447</f>
        <v>-1.9340942777317005</v>
      </c>
      <c r="AJ460" s="22">
        <f t="shared" si="786"/>
        <v>-1.9912768012535582</v>
      </c>
      <c r="AK460" s="23">
        <f>SUM(AG460:AJ460)</f>
        <v>-7.3329310789852595</v>
      </c>
      <c r="AL460" s="23">
        <f>AL462*AK447</f>
        <v>-9.0319984179378316</v>
      </c>
      <c r="AM460" s="23">
        <f>AM462*AL447</f>
        <v>-10.771520930089022</v>
      </c>
      <c r="AN460" s="23">
        <f t="shared" ref="AN460:AT460" si="787">AN462*AM447</f>
        <v>-12.600475116752746</v>
      </c>
      <c r="AO460" s="23">
        <f t="shared" si="787"/>
        <v>-14.539103404415291</v>
      </c>
      <c r="AP460" s="23">
        <f t="shared" si="787"/>
        <v>-16.604588423122891</v>
      </c>
      <c r="AQ460" s="23">
        <f t="shared" si="787"/>
        <v>-18.812145249619526</v>
      </c>
      <c r="AR460" s="23">
        <f t="shared" si="787"/>
        <v>-21.175795865549748</v>
      </c>
      <c r="AS460" s="23">
        <f t="shared" si="787"/>
        <v>-23.708921606118512</v>
      </c>
      <c r="AT460" s="23">
        <f t="shared" si="787"/>
        <v>-26.424660691149192</v>
      </c>
      <c r="AU460" s="8" t="s">
        <v>29</v>
      </c>
    </row>
    <row r="461" spans="2:47" ht="16.2" customHeight="1" x14ac:dyDescent="0.3">
      <c r="B461" s="24" t="s">
        <v>43</v>
      </c>
      <c r="C461" s="21">
        <f t="shared" ref="C461:F461" si="788">C460/C$16</f>
        <v>-2.9215805037944918E-3</v>
      </c>
      <c r="D461" s="21">
        <f t="shared" si="788"/>
        <v>-7.4681005419707245E-3</v>
      </c>
      <c r="E461" s="21">
        <f t="shared" si="788"/>
        <v>-2.5351602583449026E-3</v>
      </c>
      <c r="F461" s="21">
        <f t="shared" si="788"/>
        <v>-1.4075866311846152E-3</v>
      </c>
      <c r="G461" s="14">
        <f>G460/G16</f>
        <v>-2.5362905605263836E-3</v>
      </c>
      <c r="H461" s="21">
        <f t="shared" ref="H461:K461" si="789">H460/H$16</f>
        <v>-1.1771537990676942E-3</v>
      </c>
      <c r="I461" s="21">
        <f t="shared" si="789"/>
        <v>-8.4710765679433294E-4</v>
      </c>
      <c r="J461" s="21">
        <f t="shared" si="789"/>
        <v>-6.4112317851619744E-4</v>
      </c>
      <c r="K461" s="21">
        <f t="shared" si="789"/>
        <v>-5.4068727501191513E-4</v>
      </c>
      <c r="L461" s="14">
        <f>L460/L16</f>
        <v>-7.2942003880664306E-4</v>
      </c>
      <c r="M461" s="21">
        <f t="shared" ref="M461:P461" si="790">M460/M$16</f>
        <v>-3.1548825139525788E-3</v>
      </c>
      <c r="N461" s="21">
        <f t="shared" si="790"/>
        <v>-3.2029092458327941E-3</v>
      </c>
      <c r="O461" s="21">
        <f t="shared" si="790"/>
        <v>-3.8726863413610143E-3</v>
      </c>
      <c r="P461" s="21">
        <f t="shared" si="790"/>
        <v>-3.5939388706613712E-3</v>
      </c>
      <c r="Q461" s="14">
        <f>Q460/Q16</f>
        <v>-3.4841547620306432E-3</v>
      </c>
      <c r="R461" s="21">
        <f t="shared" ref="R461:U461" si="791">R460/R$16</f>
        <v>-5.6249558896181813E-3</v>
      </c>
      <c r="S461" s="21">
        <f t="shared" si="791"/>
        <v>-5.9637148918078248E-3</v>
      </c>
      <c r="T461" s="21">
        <f t="shared" si="791"/>
        <v>-6.3977024347979215E-3</v>
      </c>
      <c r="U461" s="21">
        <f t="shared" si="791"/>
        <v>-5.0327330398698784E-3</v>
      </c>
      <c r="V461" s="14">
        <f>V460/V16</f>
        <v>-5.6955628407943191E-3</v>
      </c>
      <c r="W461" s="21">
        <f t="shared" ref="W461:Z461" si="792">W460/W$16</f>
        <v>-8.0120396469521554E-3</v>
      </c>
      <c r="X461" s="21">
        <f t="shared" si="792"/>
        <v>-7.0884678284601202E-3</v>
      </c>
      <c r="Y461" s="21">
        <f t="shared" si="792"/>
        <v>-7.1744928671054883E-3</v>
      </c>
      <c r="Z461" s="21">
        <f t="shared" si="792"/>
        <v>-5.334972611611798E-3</v>
      </c>
      <c r="AA461" s="14">
        <f>AA460/AA16</f>
        <v>-6.7134831122957492E-3</v>
      </c>
      <c r="AB461" s="21">
        <f t="shared" ref="AB461:AE461" si="793">AB460/AB$16</f>
        <v>-7.3125111614485913E-3</v>
      </c>
      <c r="AC461" s="21">
        <f t="shared" si="793"/>
        <v>-8.0259076132528674E-3</v>
      </c>
      <c r="AD461" s="21">
        <f t="shared" si="793"/>
        <v>-8.1778876769361981E-3</v>
      </c>
      <c r="AE461" s="21">
        <f t="shared" si="793"/>
        <v>-7.0657926500900629E-3</v>
      </c>
      <c r="AF461" s="14">
        <f>AF460/AF16</f>
        <v>-7.6234195116730626E-3</v>
      </c>
      <c r="AG461" s="21">
        <f t="shared" ref="AG461:AJ461" si="794">AG460/AG$16</f>
        <v>-6.0678935172281991E-3</v>
      </c>
      <c r="AH461" s="21">
        <f t="shared" si="794"/>
        <v>-7.2292294038805481E-3</v>
      </c>
      <c r="AI461" s="21">
        <f t="shared" si="794"/>
        <v>-7.0305455702354804E-3</v>
      </c>
      <c r="AJ461" s="21">
        <f t="shared" si="794"/>
        <v>-5.4193228243202664E-3</v>
      </c>
      <c r="AK461" s="14">
        <f t="shared" ref="AK461:AT461" si="795">AK460/AK16</f>
        <v>-6.3530124288815005E-3</v>
      </c>
      <c r="AL461" s="14">
        <f t="shared" si="795"/>
        <v>-6.8576286714723059E-3</v>
      </c>
      <c r="AM461" s="14">
        <f t="shared" si="795"/>
        <v>-7.1906083676038825E-3</v>
      </c>
      <c r="AN461" s="14">
        <f t="shared" si="795"/>
        <v>-7.4433100261497697E-3</v>
      </c>
      <c r="AO461" s="14">
        <f t="shared" si="795"/>
        <v>-7.6419206584591995E-3</v>
      </c>
      <c r="AP461" s="14">
        <f t="shared" si="795"/>
        <v>-7.8029037727064769E-3</v>
      </c>
      <c r="AQ461" s="14">
        <f t="shared" si="795"/>
        <v>-7.9368673637071948E-3</v>
      </c>
      <c r="AR461" s="14">
        <f t="shared" si="795"/>
        <v>-8.0508184723134049E-3</v>
      </c>
      <c r="AS461" s="14">
        <f t="shared" si="795"/>
        <v>-8.1495045893697441E-3</v>
      </c>
      <c r="AT461" s="14">
        <f t="shared" si="795"/>
        <v>-8.2362267703581359E-3</v>
      </c>
      <c r="AU461" s="8" t="s">
        <v>29</v>
      </c>
    </row>
    <row r="462" spans="2:47" ht="16.2" customHeight="1" x14ac:dyDescent="0.3">
      <c r="B462" s="24" t="s">
        <v>248</v>
      </c>
      <c r="D462" s="21">
        <f>D460/C447</f>
        <v>-9.9601593625498003E-2</v>
      </c>
      <c r="E462" s="21">
        <f t="shared" ref="E462:AE462" si="796">E460/D447</f>
        <v>-0.1040247678018576</v>
      </c>
      <c r="F462" s="21">
        <f t="shared" si="796"/>
        <v>-0.11601085481682498</v>
      </c>
      <c r="G462" s="14"/>
      <c r="H462" s="21">
        <f>H460/F447</f>
        <v>-5.1681367144432201E-2</v>
      </c>
      <c r="I462" s="21">
        <f t="shared" si="796"/>
        <v>-4.4419766796224322E-2</v>
      </c>
      <c r="J462" s="21">
        <f t="shared" si="796"/>
        <v>-3.1847133757961783E-2</v>
      </c>
      <c r="K462" s="21">
        <f t="shared" si="796"/>
        <v>-2.1930997592939289E-2</v>
      </c>
      <c r="L462" s="14">
        <f>L460/F447</f>
        <v>-0.21843991179713343</v>
      </c>
      <c r="M462" s="21">
        <f>M460/K447</f>
        <v>-7.1356783919597988E-2</v>
      </c>
      <c r="N462" s="21">
        <f t="shared" si="796"/>
        <v>-7.0613887957061389E-2</v>
      </c>
      <c r="O462" s="21">
        <f t="shared" si="796"/>
        <v>-7.7772932112225621E-2</v>
      </c>
      <c r="P462" s="21">
        <f t="shared" si="796"/>
        <v>-7.1108263933376048E-2</v>
      </c>
      <c r="Q462" s="14">
        <f>Q460/K447</f>
        <v>-0.39738693467336683</v>
      </c>
      <c r="R462" s="21">
        <f>R460/P447</f>
        <v>-7.2798684691267809E-2</v>
      </c>
      <c r="S462" s="21">
        <f t="shared" si="796"/>
        <v>-7.1182284882384497E-2</v>
      </c>
      <c r="T462" s="21">
        <f t="shared" si="796"/>
        <v>-7.1730821730821737E-2</v>
      </c>
      <c r="U462" s="21">
        <f t="shared" si="796"/>
        <v>-5.6334476497881786E-2</v>
      </c>
      <c r="V462" s="14">
        <f>V460/P447</f>
        <v>-0.355681402995981</v>
      </c>
      <c r="W462" s="21">
        <f>W460/U447</f>
        <v>-6.2796093976602532E-2</v>
      </c>
      <c r="X462" s="21">
        <f t="shared" si="796"/>
        <v>-5.579012092641935E-2</v>
      </c>
      <c r="Y462" s="21">
        <f t="shared" si="796"/>
        <v>-5.9831850461186845E-2</v>
      </c>
      <c r="Z462" s="21">
        <f t="shared" si="796"/>
        <v>-5.6174147563089964E-2</v>
      </c>
      <c r="AA462" s="14">
        <f>AA460/U447</f>
        <v>-0.2699410229140482</v>
      </c>
      <c r="AB462" s="21">
        <f>AB460/Z447</f>
        <v>-6.2190247801758594E-2</v>
      </c>
      <c r="AC462" s="21">
        <f t="shared" si="796"/>
        <v>-7.3993678357896345E-2</v>
      </c>
      <c r="AD462" s="21">
        <f t="shared" si="796"/>
        <v>-7.6925771534662138E-2</v>
      </c>
      <c r="AE462" s="21">
        <f t="shared" si="796"/>
        <v>-7.5115980653439926E-2</v>
      </c>
      <c r="AF462" s="14">
        <f>AF460/Z447</f>
        <v>-0.31886490807354118</v>
      </c>
      <c r="AG462" s="21">
        <f>AG460/AE447</f>
        <v>-6.2300711307333827E-2</v>
      </c>
      <c r="AH462" s="26">
        <v>-7.0000000000000007E-2</v>
      </c>
      <c r="AI462" s="78">
        <f t="shared" ref="AI462:AJ462" si="797">AH462</f>
        <v>-7.0000000000000007E-2</v>
      </c>
      <c r="AJ462" s="78">
        <f t="shared" si="797"/>
        <v>-7.0000000000000007E-2</v>
      </c>
      <c r="AK462" s="79">
        <f>AK460/AE447</f>
        <v>-0.29976825602915785</v>
      </c>
      <c r="AL462" s="27">
        <f>AK462</f>
        <v>-0.29976825602915785</v>
      </c>
      <c r="AM462" s="27">
        <f>AL462</f>
        <v>-0.29976825602915785</v>
      </c>
      <c r="AN462" s="27">
        <f t="shared" ref="AN462:AT462" si="798">AM462</f>
        <v>-0.29976825602915785</v>
      </c>
      <c r="AO462" s="27">
        <f t="shared" si="798"/>
        <v>-0.29976825602915785</v>
      </c>
      <c r="AP462" s="27">
        <f t="shared" si="798"/>
        <v>-0.29976825602915785</v>
      </c>
      <c r="AQ462" s="27">
        <f t="shared" si="798"/>
        <v>-0.29976825602915785</v>
      </c>
      <c r="AR462" s="27">
        <f t="shared" si="798"/>
        <v>-0.29976825602915785</v>
      </c>
      <c r="AS462" s="27">
        <f t="shared" si="798"/>
        <v>-0.29976825602915785</v>
      </c>
      <c r="AT462" s="27">
        <f t="shared" si="798"/>
        <v>-0.29976825602915785</v>
      </c>
      <c r="AU462" s="8" t="s">
        <v>29</v>
      </c>
    </row>
    <row r="463" spans="2:47" ht="7.95" customHeight="1" x14ac:dyDescent="0.3">
      <c r="G463" s="7"/>
      <c r="L463" s="7"/>
      <c r="Q463" s="7"/>
      <c r="V463" s="7"/>
      <c r="AA463" s="7"/>
      <c r="AF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8" t="s">
        <v>29</v>
      </c>
    </row>
    <row r="464" spans="2:47" ht="16.2" customHeight="1" x14ac:dyDescent="0.3">
      <c r="B464" s="6" t="s">
        <v>249</v>
      </c>
      <c r="C464" s="37"/>
      <c r="D464" s="37" t="str">
        <f t="shared" ref="D464:AE464" si="799">IF(ABS(D447-C447-D448-D449-D450)&gt;0.1,"Erro","Ok")</f>
        <v>Ok</v>
      </c>
      <c r="E464" s="37" t="str">
        <f t="shared" si="799"/>
        <v>Ok</v>
      </c>
      <c r="F464" s="37" t="str">
        <f t="shared" si="799"/>
        <v>Ok</v>
      </c>
      <c r="G464" s="38"/>
      <c r="H464" s="37" t="str">
        <f>IF(ABS(H447-F447-H448-H449-H450)&gt;0.1,"Erro","Ok")</f>
        <v>Ok</v>
      </c>
      <c r="I464" s="37" t="str">
        <f t="shared" si="799"/>
        <v>Ok</v>
      </c>
      <c r="J464" s="37" t="str">
        <f t="shared" si="799"/>
        <v>Ok</v>
      </c>
      <c r="K464" s="37" t="str">
        <f t="shared" si="799"/>
        <v>Ok</v>
      </c>
      <c r="L464" s="38" t="str">
        <f>IF(ABS(L447-F447-L448-L449-L450)&gt;0.1,"Erro","Ok")</f>
        <v>Ok</v>
      </c>
      <c r="M464" s="37" t="str">
        <f>IF(ABS(M447-K447-M448-M449-M450)&gt;0.1,"Erro","Ok")</f>
        <v>Ok</v>
      </c>
      <c r="N464" s="37" t="str">
        <f t="shared" si="799"/>
        <v>Ok</v>
      </c>
      <c r="O464" s="37" t="str">
        <f t="shared" si="799"/>
        <v>Ok</v>
      </c>
      <c r="P464" s="37" t="str">
        <f t="shared" si="799"/>
        <v>Ok</v>
      </c>
      <c r="Q464" s="38" t="str">
        <f>IF(ABS(Q447-K447-Q448-Q449-Q450)&gt;0.1,"Erro","Ok")</f>
        <v>Ok</v>
      </c>
      <c r="R464" s="37" t="str">
        <f>IF(ABS(R447-P447-R448-R449-R450)&gt;0.1,"Erro","Ok")</f>
        <v>Ok</v>
      </c>
      <c r="S464" s="37" t="str">
        <f t="shared" si="799"/>
        <v>Ok</v>
      </c>
      <c r="T464" s="37" t="str">
        <f t="shared" si="799"/>
        <v>Ok</v>
      </c>
      <c r="U464" s="37" t="str">
        <f t="shared" si="799"/>
        <v>Ok</v>
      </c>
      <c r="V464" s="38" t="str">
        <f>IF(ABS(V447-P447-V448-V449-V450)&gt;0.1,"Erro","Ok")</f>
        <v>Ok</v>
      </c>
      <c r="W464" s="37" t="str">
        <f>IF(ABS(W447-U447-W448-W449-W450)&gt;0.1,"Erro","Ok")</f>
        <v>Ok</v>
      </c>
      <c r="X464" s="37" t="str">
        <f t="shared" si="799"/>
        <v>Ok</v>
      </c>
      <c r="Y464" s="37" t="str">
        <f t="shared" si="799"/>
        <v>Ok</v>
      </c>
      <c r="Z464" s="37" t="str">
        <f t="shared" si="799"/>
        <v>Ok</v>
      </c>
      <c r="AA464" s="38" t="str">
        <f>IF(ABS(AA447-U447-AA448-AA449-AA450)&gt;0.1,"Erro","Ok")</f>
        <v>Ok</v>
      </c>
      <c r="AB464" s="37" t="str">
        <f>IF(ABS(AB447-Z447-AB448-AB449-AB450)&gt;0.1,"Erro","Ok")</f>
        <v>Ok</v>
      </c>
      <c r="AC464" s="37" t="str">
        <f t="shared" si="799"/>
        <v>Ok</v>
      </c>
      <c r="AD464" s="37" t="str">
        <f t="shared" si="799"/>
        <v>Ok</v>
      </c>
      <c r="AE464" s="37" t="str">
        <f t="shared" si="799"/>
        <v>Ok</v>
      </c>
      <c r="AF464" s="38" t="str">
        <f>IF(ABS(AF447-Z447-AF448-AF449-AF450)&gt;0.1,"Erro","Ok")</f>
        <v>Ok</v>
      </c>
      <c r="AG464" s="37" t="str">
        <f>IF(ABS(AG447-AE447-AG448-AG449-AG450)&gt;0.1,"Erro","Ok")</f>
        <v>Ok</v>
      </c>
      <c r="AH464" s="167"/>
      <c r="AI464" s="167"/>
      <c r="AJ464" s="167"/>
      <c r="AK464" s="168"/>
      <c r="AL464" s="168"/>
      <c r="AM464" s="168"/>
      <c r="AN464" s="168"/>
      <c r="AO464" s="168"/>
      <c r="AP464" s="168"/>
      <c r="AQ464" s="168"/>
      <c r="AR464" s="168"/>
      <c r="AS464" s="168"/>
      <c r="AT464" s="168"/>
      <c r="AU464" s="8" t="s">
        <v>29</v>
      </c>
    </row>
    <row r="465" spans="1:47" ht="16.2" customHeight="1" x14ac:dyDescent="0.3">
      <c r="B465" s="6" t="s">
        <v>250</v>
      </c>
      <c r="C465" s="37" t="str">
        <f t="shared" ref="C465:AG465" si="800">IF(ABS(C452-C453-C455-C454)&gt;0.1,"Erro","Ok")</f>
        <v>Ok</v>
      </c>
      <c r="D465" s="37" t="str">
        <f t="shared" si="800"/>
        <v>Ok</v>
      </c>
      <c r="E465" s="37" t="str">
        <f t="shared" si="800"/>
        <v>Ok</v>
      </c>
      <c r="F465" s="37" t="str">
        <f t="shared" si="800"/>
        <v>Ok</v>
      </c>
      <c r="G465" s="38" t="str">
        <f>IF(ABS(G452-G453-G455-G454)&gt;0.1,"Erro","Ok")</f>
        <v>Ok</v>
      </c>
      <c r="H465" s="37" t="str">
        <f t="shared" si="800"/>
        <v>Ok</v>
      </c>
      <c r="I465" s="37" t="str">
        <f t="shared" si="800"/>
        <v>Ok</v>
      </c>
      <c r="J465" s="37" t="str">
        <f t="shared" si="800"/>
        <v>Ok</v>
      </c>
      <c r="K465" s="37" t="str">
        <f t="shared" si="800"/>
        <v>Ok</v>
      </c>
      <c r="L465" s="38" t="str">
        <f>IF(ABS(L452-L453-L455-L454)&gt;0.1,"Erro","Ok")</f>
        <v>Ok</v>
      </c>
      <c r="M465" s="37" t="str">
        <f t="shared" si="800"/>
        <v>Ok</v>
      </c>
      <c r="N465" s="37" t="str">
        <f t="shared" si="800"/>
        <v>Ok</v>
      </c>
      <c r="O465" s="37" t="str">
        <f t="shared" si="800"/>
        <v>Ok</v>
      </c>
      <c r="P465" s="37" t="str">
        <f t="shared" si="800"/>
        <v>Ok</v>
      </c>
      <c r="Q465" s="38" t="str">
        <f>IF(ABS(Q452-Q453-Q455-Q454)&gt;0.1,"Erro","Ok")</f>
        <v>Ok</v>
      </c>
      <c r="R465" s="37" t="str">
        <f t="shared" si="800"/>
        <v>Ok</v>
      </c>
      <c r="S465" s="37" t="str">
        <f t="shared" si="800"/>
        <v>Ok</v>
      </c>
      <c r="T465" s="37" t="str">
        <f t="shared" si="800"/>
        <v>Ok</v>
      </c>
      <c r="U465" s="37" t="str">
        <f t="shared" si="800"/>
        <v>Ok</v>
      </c>
      <c r="V465" s="38" t="str">
        <f>IF(ABS(V452-V453-V455-V454)&gt;0.1,"Erro","Ok")</f>
        <v>Ok</v>
      </c>
      <c r="W465" s="37" t="str">
        <f t="shared" si="800"/>
        <v>Ok</v>
      </c>
      <c r="X465" s="37" t="str">
        <f t="shared" si="800"/>
        <v>Ok</v>
      </c>
      <c r="Y465" s="37" t="str">
        <f t="shared" si="800"/>
        <v>Ok</v>
      </c>
      <c r="Z465" s="37" t="str">
        <f t="shared" si="800"/>
        <v>Ok</v>
      </c>
      <c r="AA465" s="38" t="str">
        <f>IF(ABS(AA452-AA453-AA455-AA454)&gt;0.1,"Erro","Ok")</f>
        <v>Ok</v>
      </c>
      <c r="AB465" s="37" t="str">
        <f t="shared" si="800"/>
        <v>Ok</v>
      </c>
      <c r="AC465" s="37" t="str">
        <f t="shared" si="800"/>
        <v>Ok</v>
      </c>
      <c r="AD465" s="37" t="str">
        <f t="shared" si="800"/>
        <v>Ok</v>
      </c>
      <c r="AE465" s="37" t="str">
        <f t="shared" si="800"/>
        <v>Ok</v>
      </c>
      <c r="AF465" s="38" t="str">
        <f>IF(ABS(AF452-AF453-AF455-AF454)&gt;0.1,"Erro","Ok")</f>
        <v>Ok</v>
      </c>
      <c r="AG465" s="37" t="str">
        <f t="shared" si="800"/>
        <v>Ok</v>
      </c>
      <c r="AH465" s="167"/>
      <c r="AI465" s="167"/>
      <c r="AJ465" s="167"/>
      <c r="AK465" s="168"/>
      <c r="AL465" s="168"/>
      <c r="AM465" s="168"/>
      <c r="AN465" s="168"/>
      <c r="AO465" s="168"/>
      <c r="AP465" s="168"/>
      <c r="AQ465" s="168"/>
      <c r="AR465" s="168"/>
      <c r="AS465" s="168"/>
      <c r="AT465" s="168"/>
      <c r="AU465" s="8" t="s">
        <v>29</v>
      </c>
    </row>
    <row r="466" spans="1:47" ht="7.95" customHeight="1" x14ac:dyDescent="0.3">
      <c r="G466" s="7"/>
      <c r="L466" s="7"/>
      <c r="Q466" s="7"/>
      <c r="V466" s="7"/>
      <c r="AA466" s="7"/>
      <c r="AF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8" t="s">
        <v>29</v>
      </c>
    </row>
    <row r="467" spans="1:47" ht="16.2" customHeight="1" x14ac:dyDescent="0.3">
      <c r="A467" s="9" t="s">
        <v>30</v>
      </c>
      <c r="B467" s="10" t="s">
        <v>258</v>
      </c>
      <c r="C467" s="11"/>
      <c r="D467" s="11"/>
      <c r="E467" s="11"/>
      <c r="F467" s="11"/>
      <c r="G467" s="12"/>
      <c r="H467" s="11"/>
      <c r="I467" s="11"/>
      <c r="J467" s="11"/>
      <c r="K467" s="11"/>
      <c r="L467" s="12"/>
      <c r="M467" s="11"/>
      <c r="N467" s="11"/>
      <c r="O467" s="11"/>
      <c r="P467" s="11"/>
      <c r="Q467" s="12"/>
      <c r="R467" s="11"/>
      <c r="S467" s="11"/>
      <c r="T467" s="11"/>
      <c r="U467" s="11"/>
      <c r="V467" s="12"/>
      <c r="W467" s="11"/>
      <c r="X467" s="11"/>
      <c r="Y467" s="11"/>
      <c r="Z467" s="11"/>
      <c r="AA467" s="12"/>
      <c r="AB467" s="11"/>
      <c r="AC467" s="11"/>
      <c r="AD467" s="11"/>
      <c r="AE467" s="11"/>
      <c r="AF467" s="12"/>
      <c r="AG467" s="11"/>
      <c r="AH467" s="11"/>
      <c r="AI467" s="11"/>
      <c r="AJ467" s="11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8" t="s">
        <v>29</v>
      </c>
    </row>
    <row r="468" spans="1:47" ht="7.95" customHeight="1" x14ac:dyDescent="0.3">
      <c r="G468" s="7"/>
      <c r="L468" s="7"/>
      <c r="Q468" s="7"/>
      <c r="V468" s="7"/>
      <c r="AA468" s="7"/>
      <c r="AF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8" t="s">
        <v>29</v>
      </c>
    </row>
    <row r="469" spans="1:47" ht="16.2" customHeight="1" x14ac:dyDescent="0.3">
      <c r="B469" s="6" t="s">
        <v>51</v>
      </c>
      <c r="C469" s="22">
        <f t="shared" ref="C469:AM469" si="801">C40</f>
        <v>0.24600000000000066</v>
      </c>
      <c r="D469" s="22">
        <f t="shared" si="801"/>
        <v>-2.6630000000000025</v>
      </c>
      <c r="E469" s="22">
        <f t="shared" si="801"/>
        <v>9.4070000000000054</v>
      </c>
      <c r="F469" s="22">
        <f t="shared" si="801"/>
        <v>28.368177028128056</v>
      </c>
      <c r="G469" s="23">
        <f t="shared" si="801"/>
        <v>35.358177028128061</v>
      </c>
      <c r="H469" s="22">
        <f t="shared" si="801"/>
        <v>8.5590000000000046</v>
      </c>
      <c r="I469" s="22">
        <f t="shared" si="801"/>
        <v>16.652045200000046</v>
      </c>
      <c r="J469" s="22">
        <f t="shared" si="801"/>
        <v>22.857898651062019</v>
      </c>
      <c r="K469" s="22">
        <f t="shared" si="801"/>
        <v>40.662160914099815</v>
      </c>
      <c r="L469" s="23">
        <f t="shared" si="801"/>
        <v>88.731104765161888</v>
      </c>
      <c r="M469" s="22">
        <f t="shared" si="801"/>
        <v>27.145796750000084</v>
      </c>
      <c r="N469" s="22">
        <f t="shared" si="801"/>
        <v>23.688748349999997</v>
      </c>
      <c r="O469" s="22">
        <f t="shared" si="801"/>
        <v>28.405053928675986</v>
      </c>
      <c r="P469" s="22">
        <f t="shared" si="801"/>
        <v>41.180788581922045</v>
      </c>
      <c r="Q469" s="23">
        <f t="shared" si="801"/>
        <v>120.42038761059811</v>
      </c>
      <c r="R469" s="22">
        <f t="shared" si="801"/>
        <v>29.301681529999986</v>
      </c>
      <c r="S469" s="22">
        <f t="shared" si="801"/>
        <v>31.797661380000179</v>
      </c>
      <c r="T469" s="22">
        <f t="shared" si="801"/>
        <v>31.854373460000005</v>
      </c>
      <c r="U469" s="22">
        <f t="shared" si="801"/>
        <v>43.975491149499852</v>
      </c>
      <c r="V469" s="23">
        <f t="shared" si="801"/>
        <v>136.92920751950001</v>
      </c>
      <c r="W469" s="22">
        <f t="shared" si="801"/>
        <v>30.781309539999953</v>
      </c>
      <c r="X469" s="22">
        <f t="shared" si="801"/>
        <v>31.968000000000021</v>
      </c>
      <c r="Y469" s="22">
        <f t="shared" si="801"/>
        <v>31.425061030000002</v>
      </c>
      <c r="Z469" s="22">
        <f t="shared" si="801"/>
        <v>53.266342486999946</v>
      </c>
      <c r="AA469" s="23">
        <f t="shared" si="801"/>
        <v>147.44071305699993</v>
      </c>
      <c r="AB469" s="22">
        <f t="shared" si="801"/>
        <v>42.635612743544939</v>
      </c>
      <c r="AC469" s="22">
        <f t="shared" si="801"/>
        <v>42.152000000000022</v>
      </c>
      <c r="AD469" s="22">
        <f t="shared" si="801"/>
        <v>38.918229056934983</v>
      </c>
      <c r="AE469" s="22">
        <f t="shared" si="801"/>
        <v>56.071999999999974</v>
      </c>
      <c r="AF469" s="23">
        <f t="shared" si="801"/>
        <v>179.77784180047993</v>
      </c>
      <c r="AG469" s="22">
        <f t="shared" si="801"/>
        <v>43.401999999999973</v>
      </c>
      <c r="AH469" s="22">
        <f t="shared" si="801"/>
        <v>46.951440137087239</v>
      </c>
      <c r="AI469" s="22">
        <f t="shared" ca="1" si="801"/>
        <v>50.449199418086778</v>
      </c>
      <c r="AJ469" s="22">
        <f t="shared" ca="1" si="801"/>
        <v>72.252105283478897</v>
      </c>
      <c r="AK469" s="23">
        <f t="shared" ca="1" si="801"/>
        <v>213.05474483865288</v>
      </c>
      <c r="AL469" s="23">
        <f t="shared" ca="1" si="801"/>
        <v>251.55992922339965</v>
      </c>
      <c r="AM469" s="23">
        <f t="shared" ca="1" si="801"/>
        <v>298.25927209307804</v>
      </c>
      <c r="AN469" s="23">
        <f t="shared" ref="AN469:AT469" ca="1" si="802">AN40</f>
        <v>353.91412468142101</v>
      </c>
      <c r="AO469" s="23">
        <f t="shared" ca="1" si="802"/>
        <v>417.18011671170586</v>
      </c>
      <c r="AP469" s="23">
        <f t="shared" ca="1" si="802"/>
        <v>488.74416548962182</v>
      </c>
      <c r="AQ469" s="23">
        <f t="shared" ca="1" si="802"/>
        <v>569.35384201014676</v>
      </c>
      <c r="AR469" s="23">
        <f t="shared" ca="1" si="802"/>
        <v>659.82006663943696</v>
      </c>
      <c r="AS469" s="23">
        <f t="shared" ca="1" si="802"/>
        <v>761.0203555634555</v>
      </c>
      <c r="AT469" s="23">
        <f t="shared" ca="1" si="802"/>
        <v>873.90255353708358</v>
      </c>
      <c r="AU469" s="8" t="s">
        <v>29</v>
      </c>
    </row>
    <row r="470" spans="1:47" ht="16.2" customHeight="1" x14ac:dyDescent="0.3">
      <c r="B470" s="20" t="s">
        <v>259</v>
      </c>
      <c r="C470" s="123">
        <v>0.34</v>
      </c>
      <c r="D470" s="123">
        <v>0.34</v>
      </c>
      <c r="E470" s="123">
        <v>0.34</v>
      </c>
      <c r="F470" s="123">
        <v>0.34</v>
      </c>
      <c r="G470" s="95">
        <f>AVERAGE(C470:F470)</f>
        <v>0.34</v>
      </c>
      <c r="H470" s="123">
        <v>0.34</v>
      </c>
      <c r="I470" s="123">
        <v>0.34</v>
      </c>
      <c r="J470" s="123">
        <v>0.34</v>
      </c>
      <c r="K470" s="123">
        <v>0.34</v>
      </c>
      <c r="L470" s="95">
        <f>AVERAGE(H470:K470)</f>
        <v>0.34</v>
      </c>
      <c r="M470" s="123">
        <v>0.34</v>
      </c>
      <c r="N470" s="123">
        <v>0.34</v>
      </c>
      <c r="O470" s="123">
        <v>0.34</v>
      </c>
      <c r="P470" s="123">
        <v>0.34</v>
      </c>
      <c r="Q470" s="95">
        <f>AVERAGE(M470:P470)</f>
        <v>0.34</v>
      </c>
      <c r="R470" s="123">
        <v>0.34</v>
      </c>
      <c r="S470" s="123">
        <v>0.34</v>
      </c>
      <c r="T470" s="123">
        <v>0.34</v>
      </c>
      <c r="U470" s="123">
        <v>0.34</v>
      </c>
      <c r="V470" s="95">
        <f>AVERAGE(R470:U470)</f>
        <v>0.34</v>
      </c>
      <c r="W470" s="123">
        <v>0.34</v>
      </c>
      <c r="X470" s="123">
        <v>0.34</v>
      </c>
      <c r="Y470" s="123">
        <v>0.34</v>
      </c>
      <c r="Z470" s="123">
        <v>0.34</v>
      </c>
      <c r="AA470" s="95">
        <f>AVERAGE(W470:Z470)</f>
        <v>0.34</v>
      </c>
      <c r="AB470" s="123">
        <v>0.34</v>
      </c>
      <c r="AC470" s="123">
        <v>0.34</v>
      </c>
      <c r="AD470" s="123">
        <v>0.34</v>
      </c>
      <c r="AE470" s="123">
        <v>0.34</v>
      </c>
      <c r="AF470" s="95">
        <f>AVERAGE(AB470:AE470)</f>
        <v>0.34</v>
      </c>
      <c r="AG470" s="123">
        <v>0.34</v>
      </c>
      <c r="AH470" s="123">
        <v>0.34</v>
      </c>
      <c r="AI470" s="123">
        <v>0.34</v>
      </c>
      <c r="AJ470" s="123">
        <v>0.34</v>
      </c>
      <c r="AK470" s="95">
        <f>AVERAGE(AG470:AJ470)</f>
        <v>0.34</v>
      </c>
      <c r="AL470" s="96">
        <v>0.34</v>
      </c>
      <c r="AM470" s="96">
        <v>0.34</v>
      </c>
      <c r="AN470" s="96">
        <v>0.34</v>
      </c>
      <c r="AO470" s="96">
        <v>0.34</v>
      </c>
      <c r="AP470" s="96">
        <v>0.34</v>
      </c>
      <c r="AQ470" s="96">
        <v>0.34</v>
      </c>
      <c r="AR470" s="96">
        <v>0.34</v>
      </c>
      <c r="AS470" s="96">
        <v>0.34</v>
      </c>
      <c r="AT470" s="96">
        <v>0.34</v>
      </c>
      <c r="AU470" s="8" t="s">
        <v>29</v>
      </c>
    </row>
    <row r="471" spans="1:47" ht="7.95" customHeight="1" x14ac:dyDescent="0.3">
      <c r="G471" s="7"/>
      <c r="L471" s="7"/>
      <c r="Q471" s="7"/>
      <c r="V471" s="7"/>
      <c r="AA471" s="7"/>
      <c r="AF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8" t="s">
        <v>29</v>
      </c>
    </row>
    <row r="472" spans="1:47" ht="16.2" customHeight="1" x14ac:dyDescent="0.3">
      <c r="B472" s="6" t="s">
        <v>260</v>
      </c>
      <c r="C472" s="22">
        <f>C469*-C470</f>
        <v>-8.3640000000000228E-2</v>
      </c>
      <c r="D472" s="22">
        <f t="shared" ref="D472:AJ472" si="803">D469*-D470</f>
        <v>0.90542000000000089</v>
      </c>
      <c r="E472" s="22">
        <f t="shared" si="803"/>
        <v>-3.198380000000002</v>
      </c>
      <c r="F472" s="22">
        <f t="shared" si="803"/>
        <v>-9.6451801895635398</v>
      </c>
      <c r="G472" s="23">
        <f>G469*-G470</f>
        <v>-12.021780189563541</v>
      </c>
      <c r="H472" s="22">
        <f t="shared" si="803"/>
        <v>-2.9100600000000019</v>
      </c>
      <c r="I472" s="22">
        <f t="shared" si="803"/>
        <v>-5.6616953680000162</v>
      </c>
      <c r="J472" s="22">
        <f t="shared" si="803"/>
        <v>-7.7716855413610872</v>
      </c>
      <c r="K472" s="22">
        <f t="shared" si="803"/>
        <v>-13.825134710793938</v>
      </c>
      <c r="L472" s="23">
        <f>L469*-L470</f>
        <v>-30.168575620155043</v>
      </c>
      <c r="M472" s="22">
        <f t="shared" si="803"/>
        <v>-9.2295708950000286</v>
      </c>
      <c r="N472" s="22">
        <f t="shared" si="803"/>
        <v>-8.0541744390000005</v>
      </c>
      <c r="O472" s="22">
        <f t="shared" si="803"/>
        <v>-9.657718335749836</v>
      </c>
      <c r="P472" s="22">
        <f t="shared" si="803"/>
        <v>-14.001468117853497</v>
      </c>
      <c r="Q472" s="23">
        <f>Q469*-Q470</f>
        <v>-40.942931787603364</v>
      </c>
      <c r="R472" s="22">
        <f t="shared" si="803"/>
        <v>-9.9625717201999962</v>
      </c>
      <c r="S472" s="22">
        <f t="shared" si="803"/>
        <v>-10.811204869200061</v>
      </c>
      <c r="T472" s="22">
        <f t="shared" si="803"/>
        <v>-10.830486976400003</v>
      </c>
      <c r="U472" s="22">
        <f t="shared" si="803"/>
        <v>-14.951666990829951</v>
      </c>
      <c r="V472" s="23">
        <f>V469*-V470</f>
        <v>-46.55593055663001</v>
      </c>
      <c r="W472" s="22">
        <f t="shared" si="803"/>
        <v>-10.465645243599985</v>
      </c>
      <c r="X472" s="22">
        <f t="shared" si="803"/>
        <v>-10.869120000000008</v>
      </c>
      <c r="Y472" s="22">
        <f t="shared" si="803"/>
        <v>-10.684520750200001</v>
      </c>
      <c r="Z472" s="22">
        <f t="shared" si="803"/>
        <v>-18.110556445579984</v>
      </c>
      <c r="AA472" s="23">
        <f>AA469*-AA470</f>
        <v>-50.129842439379978</v>
      </c>
      <c r="AB472" s="22">
        <f t="shared" si="803"/>
        <v>-14.49610833280528</v>
      </c>
      <c r="AC472" s="22">
        <f t="shared" si="803"/>
        <v>-14.331680000000009</v>
      </c>
      <c r="AD472" s="22">
        <f t="shared" si="803"/>
        <v>-13.232197879357896</v>
      </c>
      <c r="AE472" s="22">
        <f t="shared" si="803"/>
        <v>-19.064479999999993</v>
      </c>
      <c r="AF472" s="23">
        <f>AF469*-AF470</f>
        <v>-61.124466212163185</v>
      </c>
      <c r="AG472" s="22">
        <f t="shared" si="803"/>
        <v>-14.756679999999992</v>
      </c>
      <c r="AH472" s="22">
        <f t="shared" si="803"/>
        <v>-15.963489646609663</v>
      </c>
      <c r="AI472" s="22">
        <f t="shared" ca="1" si="803"/>
        <v>-17.152727802149506</v>
      </c>
      <c r="AJ472" s="22">
        <f t="shared" ca="1" si="803"/>
        <v>-24.565715796382825</v>
      </c>
      <c r="AK472" s="23">
        <f ca="1">AK469*-AK470</f>
        <v>-72.43861324514198</v>
      </c>
      <c r="AL472" s="23">
        <f ca="1">AL469*-AL470</f>
        <v>-85.530375935955888</v>
      </c>
      <c r="AM472" s="23">
        <f ca="1">AM469*-AM470</f>
        <v>-101.40815251164653</v>
      </c>
      <c r="AN472" s="23">
        <f t="shared" ref="AN472:AT472" ca="1" si="804">AN469*-AN470</f>
        <v>-120.33080239168315</v>
      </c>
      <c r="AO472" s="23">
        <f t="shared" ca="1" si="804"/>
        <v>-141.84123968198</v>
      </c>
      <c r="AP472" s="23">
        <f t="shared" ca="1" si="804"/>
        <v>-166.17301626647142</v>
      </c>
      <c r="AQ472" s="23">
        <f t="shared" ca="1" si="804"/>
        <v>-193.58030628344991</v>
      </c>
      <c r="AR472" s="23">
        <f t="shared" ca="1" si="804"/>
        <v>-224.33882265740857</v>
      </c>
      <c r="AS472" s="23">
        <f t="shared" ca="1" si="804"/>
        <v>-258.74692089157486</v>
      </c>
      <c r="AT472" s="23">
        <f t="shared" ca="1" si="804"/>
        <v>-297.12686820260842</v>
      </c>
      <c r="AU472" s="8" t="s">
        <v>29</v>
      </c>
    </row>
    <row r="473" spans="1:47" ht="16.2" customHeight="1" x14ac:dyDescent="0.3">
      <c r="B473" s="20" t="s">
        <v>261</v>
      </c>
      <c r="C473" s="22">
        <v>0</v>
      </c>
      <c r="D473" s="22">
        <v>0</v>
      </c>
      <c r="E473" s="22">
        <v>0</v>
      </c>
      <c r="F473" s="22">
        <v>0</v>
      </c>
      <c r="G473" s="23">
        <f>SUM(C473:F473)</f>
        <v>0</v>
      </c>
      <c r="H473" s="22">
        <v>0</v>
      </c>
      <c r="I473" s="22">
        <v>0</v>
      </c>
      <c r="J473" s="22">
        <v>0</v>
      </c>
      <c r="K473" s="22">
        <v>0</v>
      </c>
      <c r="L473" s="23">
        <f>SUM(H473:K473)</f>
        <v>0</v>
      </c>
      <c r="M473" s="22">
        <v>0</v>
      </c>
      <c r="N473" s="22">
        <v>0</v>
      </c>
      <c r="O473" s="22">
        <v>0</v>
      </c>
      <c r="P473" s="22">
        <v>0</v>
      </c>
      <c r="Q473" s="23">
        <f>SUM(M473:P473)</f>
        <v>0</v>
      </c>
      <c r="R473" s="22">
        <v>0</v>
      </c>
      <c r="S473" s="22">
        <v>0</v>
      </c>
      <c r="T473" s="22">
        <v>0</v>
      </c>
      <c r="U473" s="22">
        <v>0</v>
      </c>
      <c r="V473" s="23">
        <f>SUM(R473:U473)</f>
        <v>0</v>
      </c>
      <c r="W473" s="22">
        <v>0</v>
      </c>
      <c r="X473" s="22">
        <v>0</v>
      </c>
      <c r="Y473" s="22">
        <v>0</v>
      </c>
      <c r="Z473" s="22">
        <v>0</v>
      </c>
      <c r="AA473" s="23">
        <f>SUM(W473:Z473)</f>
        <v>0</v>
      </c>
      <c r="AB473" s="22">
        <v>0</v>
      </c>
      <c r="AC473" s="22">
        <v>0</v>
      </c>
      <c r="AD473" s="22">
        <v>0</v>
      </c>
      <c r="AE473" s="22">
        <v>0</v>
      </c>
      <c r="AF473" s="23">
        <f>SUM(AB473:AE473)</f>
        <v>0</v>
      </c>
      <c r="AG473" s="22">
        <v>0</v>
      </c>
      <c r="AH473" s="167"/>
      <c r="AI473" s="167"/>
      <c r="AJ473" s="167"/>
      <c r="AK473" s="171"/>
      <c r="AL473" s="171"/>
      <c r="AM473" s="171"/>
      <c r="AN473" s="171"/>
      <c r="AO473" s="171"/>
      <c r="AP473" s="171"/>
      <c r="AQ473" s="171"/>
      <c r="AR473" s="171"/>
      <c r="AS473" s="171"/>
      <c r="AT473" s="171"/>
      <c r="AU473" s="8" t="s">
        <v>29</v>
      </c>
    </row>
    <row r="474" spans="1:47" ht="16.2" customHeight="1" x14ac:dyDescent="0.3">
      <c r="B474" s="20" t="s">
        <v>262</v>
      </c>
      <c r="C474" s="22">
        <v>0</v>
      </c>
      <c r="D474" s="22">
        <v>0</v>
      </c>
      <c r="E474" s="22">
        <v>0</v>
      </c>
      <c r="F474" s="22">
        <v>0</v>
      </c>
      <c r="G474" s="23">
        <f>SUM(C474:F474)</f>
        <v>0</v>
      </c>
      <c r="H474" s="22">
        <v>0</v>
      </c>
      <c r="I474" s="22">
        <v>0</v>
      </c>
      <c r="J474" s="22">
        <v>0</v>
      </c>
      <c r="K474" s="22">
        <v>3.24</v>
      </c>
      <c r="L474" s="23">
        <f>SUM(H474:K474)</f>
        <v>3.24</v>
      </c>
      <c r="M474" s="22">
        <v>0</v>
      </c>
      <c r="N474" s="22">
        <v>0</v>
      </c>
      <c r="O474" s="22">
        <v>2.9409999999999998</v>
      </c>
      <c r="P474" s="22">
        <v>3.278</v>
      </c>
      <c r="Q474" s="23">
        <f>SUM(M474:P474)</f>
        <v>6.2189999999999994</v>
      </c>
      <c r="R474" s="22">
        <v>1.899</v>
      </c>
      <c r="S474" s="22">
        <v>1.863</v>
      </c>
      <c r="T474" s="22">
        <v>1.988</v>
      </c>
      <c r="U474" s="22">
        <v>1.7070000000000001</v>
      </c>
      <c r="V474" s="23">
        <f>SUM(R474:U474)</f>
        <v>7.4569999999999999</v>
      </c>
      <c r="W474" s="22">
        <v>2.1230000000000002</v>
      </c>
      <c r="X474" s="22">
        <v>2.3239999999999998</v>
      </c>
      <c r="Y474" s="22">
        <v>2.3130000000000002</v>
      </c>
      <c r="Z474" s="22">
        <v>2.4159999999999999</v>
      </c>
      <c r="AA474" s="23">
        <f>SUM(W474:Z474)</f>
        <v>9.1760000000000002</v>
      </c>
      <c r="AB474" s="22">
        <v>2.806</v>
      </c>
      <c r="AC474" s="22">
        <v>3.3340000000000001</v>
      </c>
      <c r="AD474" s="22">
        <v>3.573</v>
      </c>
      <c r="AE474" s="22">
        <v>3.5790000000000002</v>
      </c>
      <c r="AF474" s="23">
        <f>SUM(AB474:AE474)</f>
        <v>13.292000000000002</v>
      </c>
      <c r="AG474" s="22">
        <v>4.3600000000000003</v>
      </c>
      <c r="AH474" s="22">
        <f>AG154</f>
        <v>1.232</v>
      </c>
      <c r="AI474" s="22">
        <f ca="1">AH154</f>
        <v>12.235588108895833</v>
      </c>
      <c r="AJ474" s="22">
        <f ca="1">AI154</f>
        <v>12.549650683456605</v>
      </c>
      <c r="AK474" s="23">
        <f ca="1">SUM(AG474:AJ474)</f>
        <v>30.377238792352436</v>
      </c>
      <c r="AL474" s="23">
        <f t="shared" ref="AL474:AT474" ca="1" si="805">AK154</f>
        <v>26.017238792352437</v>
      </c>
      <c r="AM474" s="23">
        <f t="shared" ca="1" si="805"/>
        <v>56.101227353365609</v>
      </c>
      <c r="AN474" s="23">
        <f t="shared" ca="1" si="805"/>
        <v>64.857159810761289</v>
      </c>
      <c r="AO474" s="23">
        <f t="shared" ca="1" si="805"/>
        <v>74.415373132232631</v>
      </c>
      <c r="AP474" s="23">
        <f t="shared" ca="1" si="805"/>
        <v>84.644841474545231</v>
      </c>
      <c r="AQ474" s="23">
        <f t="shared" ca="1" si="805"/>
        <v>95.601222037124018</v>
      </c>
      <c r="AR474" s="23">
        <f t="shared" ca="1" si="805"/>
        <v>107.3409488318278</v>
      </c>
      <c r="AS474" s="23">
        <f t="shared" ca="1" si="805"/>
        <v>119.9217985717317</v>
      </c>
      <c r="AT474" s="23">
        <f t="shared" ca="1" si="805"/>
        <v>133.40336638011001</v>
      </c>
      <c r="AU474" s="8" t="s">
        <v>29</v>
      </c>
    </row>
    <row r="475" spans="1:47" ht="16.2" customHeight="1" x14ac:dyDescent="0.3">
      <c r="B475" s="20" t="s">
        <v>263</v>
      </c>
      <c r="C475" s="22">
        <v>0.76500000000000001</v>
      </c>
      <c r="D475" s="22">
        <v>1.2889999999999999</v>
      </c>
      <c r="E475" s="22">
        <v>1.3360000000000001</v>
      </c>
      <c r="F475" s="22">
        <v>2.6720000000000002</v>
      </c>
      <c r="G475" s="23">
        <f>SUM(C475:F475)</f>
        <v>6.0619999999999994</v>
      </c>
      <c r="H475" s="22">
        <v>1.633</v>
      </c>
      <c r="I475" s="22">
        <v>3.5649999999999999</v>
      </c>
      <c r="J475" s="22">
        <v>2.0409999999999999</v>
      </c>
      <c r="K475" s="22">
        <v>4.0490000000000004</v>
      </c>
      <c r="L475" s="23">
        <f>SUM(H475:K475)</f>
        <v>11.288</v>
      </c>
      <c r="M475" s="22">
        <v>1.583</v>
      </c>
      <c r="N475" s="22">
        <v>1.7290000000000001</v>
      </c>
      <c r="O475" s="22">
        <v>1.9319999999999999</v>
      </c>
      <c r="P475" s="22">
        <v>2.3980000000000001</v>
      </c>
      <c r="Q475" s="23">
        <f>SUM(M475:P475)</f>
        <v>7.6419999999999995</v>
      </c>
      <c r="R475" s="22">
        <v>3.5150000000000001</v>
      </c>
      <c r="S475" s="22">
        <v>3.8220000000000001</v>
      </c>
      <c r="T475" s="22">
        <v>4.1760000000000002</v>
      </c>
      <c r="U475" s="22">
        <v>5.2809999999999997</v>
      </c>
      <c r="V475" s="23">
        <f>SUM(R475:U475)</f>
        <v>16.794</v>
      </c>
      <c r="W475" s="22">
        <v>4.13</v>
      </c>
      <c r="X475" s="22">
        <v>4.1989999999999998</v>
      </c>
      <c r="Y475" s="22">
        <v>4.3650000000000002</v>
      </c>
      <c r="Z475" s="22">
        <v>5.431</v>
      </c>
      <c r="AA475" s="23">
        <f>SUM(W475:Z475)</f>
        <v>18.125</v>
      </c>
      <c r="AB475" s="22">
        <v>4.4580000000000002</v>
      </c>
      <c r="AC475" s="22">
        <v>4.8339999999999996</v>
      </c>
      <c r="AD475" s="22">
        <v>5.25</v>
      </c>
      <c r="AE475" s="22">
        <v>6.7380000000000004</v>
      </c>
      <c r="AF475" s="23">
        <f>SUM(AB475:AE475)</f>
        <v>21.28</v>
      </c>
      <c r="AG475" s="22">
        <v>3.153</v>
      </c>
      <c r="AH475" s="22">
        <f>AH482</f>
        <v>1.4085432041126171</v>
      </c>
      <c r="AI475" s="22">
        <f t="shared" ref="AI475:AJ475" ca="1" si="806">AI482</f>
        <v>1.5134759825426032</v>
      </c>
      <c r="AJ475" s="22">
        <f t="shared" ca="1" si="806"/>
        <v>2.1675631585043669</v>
      </c>
      <c r="AK475" s="23">
        <f ca="1">SUM(AG475:AJ475)</f>
        <v>8.2425823451595868</v>
      </c>
      <c r="AL475" s="23">
        <f ca="1">AL482</f>
        <v>7.546797876701989</v>
      </c>
      <c r="AM475" s="23">
        <f ca="1">AM482</f>
        <v>8.947778162792341</v>
      </c>
      <c r="AN475" s="23">
        <f t="shared" ref="AN475:AT475" ca="1" si="807">AN482</f>
        <v>10.61742374044263</v>
      </c>
      <c r="AO475" s="23">
        <f t="shared" ca="1" si="807"/>
        <v>12.515403501351175</v>
      </c>
      <c r="AP475" s="23">
        <f t="shared" ca="1" si="807"/>
        <v>14.662324964688654</v>
      </c>
      <c r="AQ475" s="23">
        <f t="shared" ca="1" si="807"/>
        <v>17.080615260304402</v>
      </c>
      <c r="AR475" s="23">
        <f t="shared" ca="1" si="807"/>
        <v>19.794601999183108</v>
      </c>
      <c r="AS475" s="23">
        <f t="shared" ca="1" si="807"/>
        <v>22.830610666903663</v>
      </c>
      <c r="AT475" s="23">
        <f t="shared" ca="1" si="807"/>
        <v>26.217076606112506</v>
      </c>
      <c r="AU475" s="8" t="s">
        <v>29</v>
      </c>
    </row>
    <row r="476" spans="1:47" ht="16.2" customHeight="1" x14ac:dyDescent="0.3">
      <c r="B476" s="20" t="s">
        <v>264</v>
      </c>
      <c r="C476" s="22">
        <v>-1.4930000000000001</v>
      </c>
      <c r="D476" s="22">
        <v>-0.91100000000000003</v>
      </c>
      <c r="E476" s="22">
        <v>-0.68100000000000005</v>
      </c>
      <c r="F476" s="22">
        <v>-0.48199999999999998</v>
      </c>
      <c r="G476" s="23">
        <f>SUM(C476:F476)</f>
        <v>-3.5670000000000002</v>
      </c>
      <c r="H476" s="22">
        <v>-5.5E-2</v>
      </c>
      <c r="I476" s="22">
        <v>-1.1739999999999999</v>
      </c>
      <c r="J476" s="22">
        <v>4.3410000000000002</v>
      </c>
      <c r="K476" s="22">
        <v>0.94499999999999995</v>
      </c>
      <c r="L476" s="23">
        <f>SUM(H476:K476)</f>
        <v>4.0570000000000004</v>
      </c>
      <c r="M476" s="22">
        <v>0.47799999999999998</v>
      </c>
      <c r="N476" s="22">
        <v>-9.4E-2</v>
      </c>
      <c r="O476" s="22">
        <v>0.86499999999999999</v>
      </c>
      <c r="P476" s="22">
        <v>1.8720000000000001</v>
      </c>
      <c r="Q476" s="23">
        <f>SUM(M476:P476)</f>
        <v>3.1210000000000004</v>
      </c>
      <c r="R476" s="22">
        <v>0.33400000000000002</v>
      </c>
      <c r="S476" s="22">
        <v>0.16</v>
      </c>
      <c r="T476" s="22">
        <v>-2.5000000000000001E-2</v>
      </c>
      <c r="U476" s="22">
        <v>-0.68400000000000005</v>
      </c>
      <c r="V476" s="23">
        <f>SUM(R476:U476)</f>
        <v>-0.21500000000000008</v>
      </c>
      <c r="W476" s="22">
        <v>-0.183</v>
      </c>
      <c r="X476" s="22">
        <v>-1.377</v>
      </c>
      <c r="Y476" s="22">
        <v>-2.8940000000000001</v>
      </c>
      <c r="Z476" s="22">
        <v>-2.4039999999999999</v>
      </c>
      <c r="AA476" s="23">
        <f>SUM(W476:Z476)</f>
        <v>-6.8580000000000005</v>
      </c>
      <c r="AB476" s="22">
        <v>-0.61299999999999999</v>
      </c>
      <c r="AC476" s="22">
        <v>-1.9990000000000001</v>
      </c>
      <c r="AD476" s="22">
        <v>-4.6070000000000002</v>
      </c>
      <c r="AE476" s="22">
        <v>-3.6880000000000002</v>
      </c>
      <c r="AF476" s="23">
        <f>SUM(AB476:AE476)</f>
        <v>-10.907</v>
      </c>
      <c r="AG476" s="22">
        <v>-1.7569999999999999</v>
      </c>
      <c r="AH476" s="167"/>
      <c r="AI476" s="167"/>
      <c r="AJ476" s="167"/>
      <c r="AK476" s="62">
        <f>SUM(AG476:AJ476)</f>
        <v>-1.7569999999999999</v>
      </c>
      <c r="AL476" s="171"/>
      <c r="AM476" s="171"/>
      <c r="AN476" s="171"/>
      <c r="AO476" s="171"/>
      <c r="AP476" s="171"/>
      <c r="AQ476" s="171"/>
      <c r="AR476" s="171"/>
      <c r="AS476" s="171"/>
      <c r="AT476" s="171"/>
      <c r="AU476" s="8" t="s">
        <v>29</v>
      </c>
    </row>
    <row r="477" spans="1:47" ht="7.95" customHeight="1" x14ac:dyDescent="0.3">
      <c r="B477" s="20"/>
      <c r="G477" s="7"/>
      <c r="L477" s="7"/>
      <c r="Q477" s="7"/>
      <c r="V477" s="7"/>
      <c r="AA477" s="7"/>
      <c r="AF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8" t="s">
        <v>29</v>
      </c>
    </row>
    <row r="478" spans="1:47" ht="16.2" customHeight="1" x14ac:dyDescent="0.3">
      <c r="B478" s="5" t="s">
        <v>265</v>
      </c>
      <c r="C478" s="28">
        <f t="shared" ref="C478:AE478" si="808">SUM(C472:C476)</f>
        <v>-0.81164000000000036</v>
      </c>
      <c r="D478" s="28">
        <f t="shared" si="808"/>
        <v>1.2834200000000009</v>
      </c>
      <c r="E478" s="28">
        <f t="shared" si="808"/>
        <v>-2.5433800000000018</v>
      </c>
      <c r="F478" s="28">
        <f t="shared" si="808"/>
        <v>-7.4551801895635395</v>
      </c>
      <c r="G478" s="29">
        <f>SUM(G472:G476)</f>
        <v>-9.5267801895635422</v>
      </c>
      <c r="H478" s="28">
        <f t="shared" si="808"/>
        <v>-1.3320600000000018</v>
      </c>
      <c r="I478" s="28">
        <f t="shared" si="808"/>
        <v>-3.2706953680000161</v>
      </c>
      <c r="J478" s="28">
        <f t="shared" si="808"/>
        <v>-1.3896855413610867</v>
      </c>
      <c r="K478" s="28">
        <f t="shared" si="808"/>
        <v>-5.5911347107939369</v>
      </c>
      <c r="L478" s="29">
        <f>SUM(L472:L476)</f>
        <v>-11.583575620155043</v>
      </c>
      <c r="M478" s="28">
        <f t="shared" si="808"/>
        <v>-7.1685708950000286</v>
      </c>
      <c r="N478" s="28">
        <f t="shared" si="808"/>
        <v>-6.4191744390000007</v>
      </c>
      <c r="O478" s="28">
        <f t="shared" si="808"/>
        <v>-3.9197183357498364</v>
      </c>
      <c r="P478" s="28">
        <f t="shared" si="808"/>
        <v>-6.4534681178534967</v>
      </c>
      <c r="Q478" s="29">
        <f>SUM(Q472:Q476)</f>
        <v>-23.960931787603364</v>
      </c>
      <c r="R478" s="28">
        <f t="shared" si="808"/>
        <v>-4.214571720199995</v>
      </c>
      <c r="S478" s="28">
        <f t="shared" si="808"/>
        <v>-4.9662048692000615</v>
      </c>
      <c r="T478" s="28">
        <f t="shared" si="808"/>
        <v>-4.6914869764000038</v>
      </c>
      <c r="U478" s="28">
        <f t="shared" si="808"/>
        <v>-8.6476669908299506</v>
      </c>
      <c r="V478" s="29">
        <f>SUM(V472:V476)</f>
        <v>-22.519930556630008</v>
      </c>
      <c r="W478" s="28">
        <f t="shared" si="808"/>
        <v>-4.3956452435999855</v>
      </c>
      <c r="X478" s="28">
        <f t="shared" si="808"/>
        <v>-5.7231200000000078</v>
      </c>
      <c r="Y478" s="28">
        <f t="shared" si="808"/>
        <v>-6.9005207502000001</v>
      </c>
      <c r="Z478" s="28">
        <f t="shared" si="808"/>
        <v>-12.667556445579983</v>
      </c>
      <c r="AA478" s="29">
        <f>SUM(AA472:AA476)</f>
        <v>-29.686842439379976</v>
      </c>
      <c r="AB478" s="28">
        <f t="shared" si="808"/>
        <v>-7.84510833280528</v>
      </c>
      <c r="AC478" s="28">
        <f t="shared" si="808"/>
        <v>-8.1626800000000106</v>
      </c>
      <c r="AD478" s="28">
        <f t="shared" si="808"/>
        <v>-9.0161978793578967</v>
      </c>
      <c r="AE478" s="28">
        <f t="shared" si="808"/>
        <v>-12.435479999999993</v>
      </c>
      <c r="AF478" s="29">
        <f>SUM(AF472:AF476)</f>
        <v>-37.459466212163179</v>
      </c>
      <c r="AG478" s="28">
        <f>SUM(AG472:AG476)</f>
        <v>-9.000679999999992</v>
      </c>
      <c r="AH478" s="28">
        <f>SUM(AH472:AH476)</f>
        <v>-13.322946442497047</v>
      </c>
      <c r="AI478" s="28">
        <f t="shared" ref="AI478:AJ478" ca="1" si="809">SUM(AI472:AI476)</f>
        <v>-3.4036637107110703</v>
      </c>
      <c r="AJ478" s="28">
        <f t="shared" ca="1" si="809"/>
        <v>-9.8485019544218542</v>
      </c>
      <c r="AK478" s="29">
        <f ca="1">SUM(AK472:AK476)</f>
        <v>-35.575792107629958</v>
      </c>
      <c r="AL478" s="29">
        <f ca="1">SUM(AL472:AL476)</f>
        <v>-51.966339266901464</v>
      </c>
      <c r="AM478" s="29">
        <f ca="1">SUM(AM472:AM476)</f>
        <v>-36.359146995488587</v>
      </c>
      <c r="AN478" s="29">
        <f t="shared" ref="AN478:AT478" ca="1" si="810">SUM(AN472:AN476)</f>
        <v>-44.856218840479229</v>
      </c>
      <c r="AO478" s="29">
        <f t="shared" ca="1" si="810"/>
        <v>-54.910463048396196</v>
      </c>
      <c r="AP478" s="29">
        <f t="shared" ca="1" si="810"/>
        <v>-66.86584982723754</v>
      </c>
      <c r="AQ478" s="29">
        <f t="shared" ca="1" si="810"/>
        <v>-80.898468986021498</v>
      </c>
      <c r="AR478" s="29">
        <f t="shared" ca="1" si="810"/>
        <v>-97.203271826397668</v>
      </c>
      <c r="AS478" s="29">
        <f t="shared" ca="1" si="810"/>
        <v>-115.99451165293949</v>
      </c>
      <c r="AT478" s="29">
        <f t="shared" ca="1" si="810"/>
        <v>-137.50642521638591</v>
      </c>
      <c r="AU478" s="8" t="s">
        <v>29</v>
      </c>
    </row>
    <row r="479" spans="1:47" ht="16.2" customHeight="1" x14ac:dyDescent="0.3">
      <c r="B479" s="20" t="s">
        <v>266</v>
      </c>
      <c r="C479" s="21">
        <f t="shared" ref="C479:AE479" si="811">C478/-C469</f>
        <v>3.2993495934959274</v>
      </c>
      <c r="D479" s="21">
        <f t="shared" si="811"/>
        <v>0.48194517461509562</v>
      </c>
      <c r="E479" s="21">
        <f t="shared" si="811"/>
        <v>0.27037100031891148</v>
      </c>
      <c r="F479" s="21">
        <f t="shared" si="811"/>
        <v>0.26280082016449147</v>
      </c>
      <c r="G479" s="14">
        <f>G478/-G469</f>
        <v>0.26943640736864966</v>
      </c>
      <c r="H479" s="21">
        <f t="shared" si="811"/>
        <v>0.15563266736768328</v>
      </c>
      <c r="I479" s="21">
        <f t="shared" si="811"/>
        <v>0.19641403375484515</v>
      </c>
      <c r="J479" s="21">
        <f t="shared" si="811"/>
        <v>6.0796732130777881E-2</v>
      </c>
      <c r="K479" s="21">
        <f t="shared" si="811"/>
        <v>0.1375021539707493</v>
      </c>
      <c r="L479" s="14">
        <f>L478/-L469</f>
        <v>0.13054695589345411</v>
      </c>
      <c r="M479" s="21">
        <f t="shared" si="811"/>
        <v>0.26407664365202344</v>
      </c>
      <c r="N479" s="21">
        <f t="shared" si="811"/>
        <v>0.27097989071254586</v>
      </c>
      <c r="O479" s="21">
        <f t="shared" si="811"/>
        <v>0.13799369455844374</v>
      </c>
      <c r="P479" s="21">
        <f t="shared" si="811"/>
        <v>0.15671064931200723</v>
      </c>
      <c r="Q479" s="14">
        <f>Q478/-Q469</f>
        <v>0.19897736806067695</v>
      </c>
      <c r="R479" s="21">
        <f t="shared" si="811"/>
        <v>0.14383378359651419</v>
      </c>
      <c r="S479" s="21">
        <f t="shared" si="811"/>
        <v>0.15618145025985034</v>
      </c>
      <c r="T479" s="21">
        <f t="shared" si="811"/>
        <v>0.14727921057029017</v>
      </c>
      <c r="U479" s="21">
        <f t="shared" si="811"/>
        <v>0.19664742257070397</v>
      </c>
      <c r="V479" s="14">
        <f>V478/-V469</f>
        <v>0.16446403922569228</v>
      </c>
      <c r="W479" s="21">
        <f t="shared" si="811"/>
        <v>0.14280241189504611</v>
      </c>
      <c r="X479" s="21">
        <f t="shared" si="811"/>
        <v>0.17902652652652665</v>
      </c>
      <c r="Y479" s="21">
        <f t="shared" si="811"/>
        <v>0.21958655047996256</v>
      </c>
      <c r="Z479" s="21">
        <f t="shared" si="811"/>
        <v>0.23781539813197416</v>
      </c>
      <c r="AA479" s="14">
        <f>AA478/-AA469</f>
        <v>0.20134765916319988</v>
      </c>
      <c r="AB479" s="21">
        <f t="shared" si="811"/>
        <v>0.18400364924960613</v>
      </c>
      <c r="AC479" s="21">
        <f t="shared" si="811"/>
        <v>0.19364869994306336</v>
      </c>
      <c r="AD479" s="21">
        <f t="shared" si="811"/>
        <v>0.23167030201111546</v>
      </c>
      <c r="AE479" s="21">
        <f t="shared" si="811"/>
        <v>0.22177700099871592</v>
      </c>
      <c r="AF479" s="14">
        <f>AF478/-AF469</f>
        <v>0.20836531263811833</v>
      </c>
      <c r="AG479" s="21">
        <f>AG478/-AG469</f>
        <v>0.20737938343855117</v>
      </c>
      <c r="AH479" s="21">
        <f t="shared" ref="AH479:AJ479" si="812">AH478/-AH469</f>
        <v>0.28376012330180195</v>
      </c>
      <c r="AI479" s="21">
        <f t="shared" ca="1" si="812"/>
        <v>6.7467150122719435E-2</v>
      </c>
      <c r="AJ479" s="21">
        <f t="shared" ca="1" si="812"/>
        <v>0.13630747388995187</v>
      </c>
      <c r="AK479" s="14">
        <f ca="1">AK478/-AK469</f>
        <v>0.16697958139618826</v>
      </c>
      <c r="AL479" s="14">
        <f ca="1">AL478/-AL469</f>
        <v>0.20657637894607758</v>
      </c>
      <c r="AM479" s="14">
        <f ca="1">AM478/-AM469</f>
        <v>0.12190449852684532</v>
      </c>
      <c r="AN479" s="14">
        <f t="shared" ref="AN479:AT479" ca="1" si="813">AN478/-AN469</f>
        <v>0.12674322868819365</v>
      </c>
      <c r="AO479" s="14">
        <f t="shared" ca="1" si="813"/>
        <v>0.13162291501620704</v>
      </c>
      <c r="AP479" s="14">
        <f t="shared" ca="1" si="813"/>
        <v>0.13681155612415674</v>
      </c>
      <c r="AQ479" s="14">
        <f t="shared" ca="1" si="813"/>
        <v>0.14208821126138949</v>
      </c>
      <c r="AR479" s="14">
        <f t="shared" ca="1" si="813"/>
        <v>0.147317847305658</v>
      </c>
      <c r="AS479" s="14">
        <f t="shared" ca="1" si="813"/>
        <v>0.15241972281681976</v>
      </c>
      <c r="AT479" s="14">
        <f t="shared" ca="1" si="813"/>
        <v>0.15734754940334533</v>
      </c>
      <c r="AU479" s="8" t="s">
        <v>29</v>
      </c>
    </row>
    <row r="480" spans="1:47" ht="7.95" customHeight="1" x14ac:dyDescent="0.3">
      <c r="G480" s="7"/>
      <c r="L480" s="7"/>
      <c r="Q480" s="7"/>
      <c r="V480" s="7"/>
      <c r="AA480" s="7"/>
      <c r="AF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8" t="s">
        <v>29</v>
      </c>
    </row>
    <row r="481" spans="1:47" ht="16.2" customHeight="1" x14ac:dyDescent="0.3">
      <c r="B481" s="20" t="s">
        <v>267</v>
      </c>
      <c r="C481" s="22">
        <f>C474</f>
        <v>0</v>
      </c>
      <c r="D481" s="22">
        <f t="shared" ref="D481:AE481" si="814">D474</f>
        <v>0</v>
      </c>
      <c r="E481" s="22">
        <f t="shared" si="814"/>
        <v>0</v>
      </c>
      <c r="F481" s="22">
        <f t="shared" si="814"/>
        <v>0</v>
      </c>
      <c r="G481" s="23">
        <f>G474</f>
        <v>0</v>
      </c>
      <c r="H481" s="22">
        <f t="shared" si="814"/>
        <v>0</v>
      </c>
      <c r="I481" s="22">
        <f t="shared" si="814"/>
        <v>0</v>
      </c>
      <c r="J481" s="22">
        <f t="shared" si="814"/>
        <v>0</v>
      </c>
      <c r="K481" s="22">
        <f t="shared" si="814"/>
        <v>3.24</v>
      </c>
      <c r="L481" s="23">
        <f>L474</f>
        <v>3.24</v>
      </c>
      <c r="M481" s="22">
        <f t="shared" si="814"/>
        <v>0</v>
      </c>
      <c r="N481" s="22">
        <f t="shared" si="814"/>
        <v>0</v>
      </c>
      <c r="O481" s="22">
        <f t="shared" si="814"/>
        <v>2.9409999999999998</v>
      </c>
      <c r="P481" s="22">
        <f t="shared" si="814"/>
        <v>3.278</v>
      </c>
      <c r="Q481" s="23">
        <f>Q474</f>
        <v>6.2189999999999994</v>
      </c>
      <c r="R481" s="22">
        <f t="shared" si="814"/>
        <v>1.899</v>
      </c>
      <c r="S481" s="22">
        <f t="shared" si="814"/>
        <v>1.863</v>
      </c>
      <c r="T481" s="22">
        <f t="shared" si="814"/>
        <v>1.988</v>
      </c>
      <c r="U481" s="22">
        <f t="shared" si="814"/>
        <v>1.7070000000000001</v>
      </c>
      <c r="V481" s="23">
        <f>V474</f>
        <v>7.4569999999999999</v>
      </c>
      <c r="W481" s="22">
        <f t="shared" si="814"/>
        <v>2.1230000000000002</v>
      </c>
      <c r="X481" s="22">
        <f t="shared" si="814"/>
        <v>2.3239999999999998</v>
      </c>
      <c r="Y481" s="22">
        <f t="shared" si="814"/>
        <v>2.3130000000000002</v>
      </c>
      <c r="Z481" s="22">
        <f t="shared" si="814"/>
        <v>2.4159999999999999</v>
      </c>
      <c r="AA481" s="23">
        <f>AA474</f>
        <v>9.1760000000000002</v>
      </c>
      <c r="AB481" s="22">
        <f t="shared" si="814"/>
        <v>2.806</v>
      </c>
      <c r="AC481" s="22">
        <f t="shared" si="814"/>
        <v>3.3340000000000001</v>
      </c>
      <c r="AD481" s="22">
        <f t="shared" si="814"/>
        <v>3.573</v>
      </c>
      <c r="AE481" s="22">
        <f t="shared" si="814"/>
        <v>3.5790000000000002</v>
      </c>
      <c r="AF481" s="23">
        <f>AF474</f>
        <v>13.292000000000002</v>
      </c>
      <c r="AG481" s="22">
        <f>AG474</f>
        <v>4.3600000000000003</v>
      </c>
      <c r="AH481" s="22">
        <f t="shared" ref="AH481:AJ481" si="815">AH474</f>
        <v>1.232</v>
      </c>
      <c r="AI481" s="22">
        <f t="shared" ca="1" si="815"/>
        <v>12.235588108895833</v>
      </c>
      <c r="AJ481" s="22">
        <f t="shared" ca="1" si="815"/>
        <v>12.549650683456605</v>
      </c>
      <c r="AK481" s="23">
        <f ca="1">AK474</f>
        <v>30.377238792352436</v>
      </c>
      <c r="AL481" s="23">
        <f ca="1">AL474</f>
        <v>26.017238792352437</v>
      </c>
      <c r="AM481" s="23">
        <f ca="1">AM474</f>
        <v>56.101227353365609</v>
      </c>
      <c r="AN481" s="23">
        <f t="shared" ref="AN481:AT481" ca="1" si="816">AN474</f>
        <v>64.857159810761289</v>
      </c>
      <c r="AO481" s="23">
        <f t="shared" ca="1" si="816"/>
        <v>74.415373132232631</v>
      </c>
      <c r="AP481" s="23">
        <f t="shared" ca="1" si="816"/>
        <v>84.644841474545231</v>
      </c>
      <c r="AQ481" s="23">
        <f t="shared" ca="1" si="816"/>
        <v>95.601222037124018</v>
      </c>
      <c r="AR481" s="23">
        <f t="shared" ca="1" si="816"/>
        <v>107.3409488318278</v>
      </c>
      <c r="AS481" s="23">
        <f t="shared" ca="1" si="816"/>
        <v>119.9217985717317</v>
      </c>
      <c r="AT481" s="23">
        <f t="shared" ca="1" si="816"/>
        <v>133.40336638011001</v>
      </c>
      <c r="AU481" s="8" t="s">
        <v>29</v>
      </c>
    </row>
    <row r="482" spans="1:47" ht="16.2" customHeight="1" x14ac:dyDescent="0.3">
      <c r="B482" s="20" t="s">
        <v>268</v>
      </c>
      <c r="C482" s="22">
        <f>C473+C475+C476</f>
        <v>-0.72800000000000009</v>
      </c>
      <c r="D482" s="22">
        <f t="shared" ref="D482:AG482" si="817">D473+D475+D476</f>
        <v>0.37799999999999989</v>
      </c>
      <c r="E482" s="22">
        <f t="shared" si="817"/>
        <v>0.65500000000000003</v>
      </c>
      <c r="F482" s="22">
        <f t="shared" si="817"/>
        <v>2.1900000000000004</v>
      </c>
      <c r="G482" s="23">
        <f>G473+G475+G476</f>
        <v>2.4949999999999992</v>
      </c>
      <c r="H482" s="22">
        <f t="shared" si="817"/>
        <v>1.5780000000000001</v>
      </c>
      <c r="I482" s="22">
        <f t="shared" si="817"/>
        <v>2.391</v>
      </c>
      <c r="J482" s="22">
        <f t="shared" si="817"/>
        <v>6.3819999999999997</v>
      </c>
      <c r="K482" s="22">
        <f t="shared" si="817"/>
        <v>4.9940000000000007</v>
      </c>
      <c r="L482" s="23">
        <f>L473+L475+L476</f>
        <v>15.345000000000001</v>
      </c>
      <c r="M482" s="22">
        <f t="shared" si="817"/>
        <v>2.0609999999999999</v>
      </c>
      <c r="N482" s="22">
        <f t="shared" si="817"/>
        <v>1.635</v>
      </c>
      <c r="O482" s="22">
        <f t="shared" si="817"/>
        <v>2.7969999999999997</v>
      </c>
      <c r="P482" s="22">
        <f t="shared" si="817"/>
        <v>4.2700000000000005</v>
      </c>
      <c r="Q482" s="23">
        <f>Q473+Q475+Q476</f>
        <v>10.763</v>
      </c>
      <c r="R482" s="22">
        <f t="shared" si="817"/>
        <v>3.8490000000000002</v>
      </c>
      <c r="S482" s="22">
        <f t="shared" si="817"/>
        <v>3.9820000000000002</v>
      </c>
      <c r="T482" s="22">
        <f t="shared" si="817"/>
        <v>4.1509999999999998</v>
      </c>
      <c r="U482" s="22">
        <f t="shared" si="817"/>
        <v>4.5969999999999995</v>
      </c>
      <c r="V482" s="23">
        <f>V473+V475+V476</f>
        <v>16.579000000000001</v>
      </c>
      <c r="W482" s="22">
        <f t="shared" si="817"/>
        <v>3.9470000000000001</v>
      </c>
      <c r="X482" s="22">
        <f t="shared" si="817"/>
        <v>2.8220000000000001</v>
      </c>
      <c r="Y482" s="22">
        <f t="shared" si="817"/>
        <v>1.4710000000000001</v>
      </c>
      <c r="Z482" s="22">
        <f t="shared" si="817"/>
        <v>3.0270000000000001</v>
      </c>
      <c r="AA482" s="23">
        <f>AA473+AA475+AA476</f>
        <v>11.266999999999999</v>
      </c>
      <c r="AB482" s="22">
        <f t="shared" si="817"/>
        <v>3.8450000000000002</v>
      </c>
      <c r="AC482" s="22">
        <f t="shared" si="817"/>
        <v>2.8349999999999995</v>
      </c>
      <c r="AD482" s="22">
        <f t="shared" si="817"/>
        <v>0.64299999999999979</v>
      </c>
      <c r="AE482" s="22">
        <f t="shared" si="817"/>
        <v>3.0500000000000003</v>
      </c>
      <c r="AF482" s="23">
        <f>AF473+AF475+AF476</f>
        <v>10.373000000000001</v>
      </c>
      <c r="AG482" s="22">
        <f t="shared" si="817"/>
        <v>1.3960000000000001</v>
      </c>
      <c r="AH482" s="22">
        <f>AH483*AH469</f>
        <v>1.4085432041126171</v>
      </c>
      <c r="AI482" s="22">
        <f t="shared" ref="AI482:AJ482" ca="1" si="818">AI483*AI469</f>
        <v>1.5134759825426032</v>
      </c>
      <c r="AJ482" s="22">
        <f t="shared" ca="1" si="818"/>
        <v>2.1675631585043669</v>
      </c>
      <c r="AK482" s="23">
        <f ca="1">AK473+AK475+AK476</f>
        <v>6.4855823451595871</v>
      </c>
      <c r="AL482" s="23">
        <f ca="1">AL483*AL469</f>
        <v>7.546797876701989</v>
      </c>
      <c r="AM482" s="23">
        <f ca="1">AM483*AM469</f>
        <v>8.947778162792341</v>
      </c>
      <c r="AN482" s="23">
        <f t="shared" ref="AN482:AT482" ca="1" si="819">AN483*AN469</f>
        <v>10.61742374044263</v>
      </c>
      <c r="AO482" s="23">
        <f t="shared" ca="1" si="819"/>
        <v>12.515403501351175</v>
      </c>
      <c r="AP482" s="23">
        <f t="shared" ca="1" si="819"/>
        <v>14.662324964688654</v>
      </c>
      <c r="AQ482" s="23">
        <f t="shared" ca="1" si="819"/>
        <v>17.080615260304402</v>
      </c>
      <c r="AR482" s="23">
        <f t="shared" ca="1" si="819"/>
        <v>19.794601999183108</v>
      </c>
      <c r="AS482" s="23">
        <f t="shared" ca="1" si="819"/>
        <v>22.830610666903663</v>
      </c>
      <c r="AT482" s="23">
        <f t="shared" ca="1" si="819"/>
        <v>26.217076606112506</v>
      </c>
      <c r="AU482" s="8" t="s">
        <v>29</v>
      </c>
    </row>
    <row r="483" spans="1:47" ht="16.2" customHeight="1" x14ac:dyDescent="0.3">
      <c r="B483" s="24" t="s">
        <v>269</v>
      </c>
      <c r="C483" s="21">
        <f>C482/C469</f>
        <v>-2.9593495934959275</v>
      </c>
      <c r="D483" s="21">
        <f>D482/D469</f>
        <v>-0.14194517461509559</v>
      </c>
      <c r="E483" s="21">
        <f t="shared" ref="E483:AG483" si="820">E482/E469</f>
        <v>6.9628999681088516E-2</v>
      </c>
      <c r="F483" s="21">
        <f t="shared" si="820"/>
        <v>7.7199179835508558E-2</v>
      </c>
      <c r="G483" s="14">
        <f>G482/G469</f>
        <v>7.0563592631350369E-2</v>
      </c>
      <c r="H483" s="21">
        <f t="shared" si="820"/>
        <v>0.18436733263231678</v>
      </c>
      <c r="I483" s="21">
        <f t="shared" si="820"/>
        <v>0.14358596624515488</v>
      </c>
      <c r="J483" s="21">
        <f t="shared" si="820"/>
        <v>0.27920326786922212</v>
      </c>
      <c r="K483" s="21">
        <f t="shared" si="820"/>
        <v>0.12281688645495241</v>
      </c>
      <c r="L483" s="14">
        <f>L482/L469</f>
        <v>0.17293822770056214</v>
      </c>
      <c r="M483" s="21">
        <f t="shared" si="820"/>
        <v>7.5923356347976548E-2</v>
      </c>
      <c r="N483" s="21">
        <f t="shared" si="820"/>
        <v>6.9020109287454195E-2</v>
      </c>
      <c r="O483" s="21">
        <f t="shared" si="820"/>
        <v>9.8468392527018625E-2</v>
      </c>
      <c r="P483" s="21">
        <f t="shared" si="820"/>
        <v>0.10368912658157517</v>
      </c>
      <c r="Q483" s="14">
        <f>Q482/Q469</f>
        <v>8.9378553030440136E-2</v>
      </c>
      <c r="R483" s="21">
        <f t="shared" si="820"/>
        <v>0.13135764908438011</v>
      </c>
      <c r="S483" s="21">
        <f t="shared" si="820"/>
        <v>0.12522933534050917</v>
      </c>
      <c r="T483" s="21">
        <f t="shared" si="820"/>
        <v>0.13031177666113791</v>
      </c>
      <c r="U483" s="21">
        <f t="shared" si="820"/>
        <v>0.10453550102196602</v>
      </c>
      <c r="V483" s="14">
        <f>V482/V469</f>
        <v>0.12107716315848095</v>
      </c>
      <c r="W483" s="21">
        <f t="shared" si="820"/>
        <v>0.12822716313842722</v>
      </c>
      <c r="X483" s="21">
        <f t="shared" si="820"/>
        <v>8.8275775775775722E-2</v>
      </c>
      <c r="Y483" s="21">
        <f t="shared" si="820"/>
        <v>4.6809773848830616E-2</v>
      </c>
      <c r="Z483" s="21">
        <f t="shared" si="820"/>
        <v>5.6827629956736049E-2</v>
      </c>
      <c r="AA483" s="14">
        <f>AA482/AA469</f>
        <v>7.6417156200568742E-2</v>
      </c>
      <c r="AB483" s="21">
        <f t="shared" si="820"/>
        <v>9.0182824933884312E-2</v>
      </c>
      <c r="AC483" s="21">
        <f t="shared" si="820"/>
        <v>6.725659517935087E-2</v>
      </c>
      <c r="AD483" s="21">
        <f t="shared" si="820"/>
        <v>1.6521820637299046E-2</v>
      </c>
      <c r="AE483" s="21">
        <f t="shared" si="820"/>
        <v>5.439435012127268E-2</v>
      </c>
      <c r="AF483" s="14">
        <f>AF482/AF469</f>
        <v>5.7698990577003964E-2</v>
      </c>
      <c r="AG483" s="21">
        <f t="shared" si="820"/>
        <v>3.2164416386341668E-2</v>
      </c>
      <c r="AH483" s="26">
        <v>0.03</v>
      </c>
      <c r="AI483" s="26">
        <v>0.03</v>
      </c>
      <c r="AJ483" s="26">
        <v>0.03</v>
      </c>
      <c r="AK483" s="27">
        <f ca="1">AK482/AK469</f>
        <v>3.0440919539581914E-2</v>
      </c>
      <c r="AL483" s="27">
        <v>0.03</v>
      </c>
      <c r="AM483" s="27">
        <v>0.03</v>
      </c>
      <c r="AN483" s="27">
        <v>0.03</v>
      </c>
      <c r="AO483" s="27">
        <v>0.03</v>
      </c>
      <c r="AP483" s="27">
        <v>0.03</v>
      </c>
      <c r="AQ483" s="27">
        <v>0.03</v>
      </c>
      <c r="AR483" s="27">
        <v>0.03</v>
      </c>
      <c r="AS483" s="27">
        <v>0.03</v>
      </c>
      <c r="AT483" s="27">
        <v>0.03</v>
      </c>
      <c r="AU483" s="8" t="s">
        <v>29</v>
      </c>
    </row>
    <row r="484" spans="1:47" ht="7.95" customHeight="1" x14ac:dyDescent="0.3">
      <c r="G484" s="7"/>
      <c r="L484" s="7"/>
      <c r="Q484" s="7"/>
      <c r="V484" s="7"/>
      <c r="AA484" s="7"/>
      <c r="AF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8" t="s">
        <v>29</v>
      </c>
    </row>
    <row r="485" spans="1:47" ht="16.2" customHeight="1" x14ac:dyDescent="0.3">
      <c r="B485" s="41" t="s">
        <v>270</v>
      </c>
      <c r="C485" s="37" t="str">
        <f t="shared" ref="C485:AG485" si="821">IF(ABS(C43-C478)&gt;0.1,"Erro","Ok")</f>
        <v>Ok</v>
      </c>
      <c r="D485" s="37" t="str">
        <f t="shared" si="821"/>
        <v>Ok</v>
      </c>
      <c r="E485" s="37" t="str">
        <f t="shared" si="821"/>
        <v>Ok</v>
      </c>
      <c r="F485" s="37" t="str">
        <f t="shared" si="821"/>
        <v>Ok</v>
      </c>
      <c r="G485" s="38" t="str">
        <f t="shared" si="821"/>
        <v>Ok</v>
      </c>
      <c r="H485" s="37" t="str">
        <f t="shared" si="821"/>
        <v>Ok</v>
      </c>
      <c r="I485" s="37" t="str">
        <f t="shared" si="821"/>
        <v>Ok</v>
      </c>
      <c r="J485" s="37" t="str">
        <f t="shared" si="821"/>
        <v>Ok</v>
      </c>
      <c r="K485" s="37" t="str">
        <f t="shared" si="821"/>
        <v>Ok</v>
      </c>
      <c r="L485" s="38" t="str">
        <f t="shared" si="821"/>
        <v>Ok</v>
      </c>
      <c r="M485" s="37" t="str">
        <f t="shared" si="821"/>
        <v>Ok</v>
      </c>
      <c r="N485" s="37" t="str">
        <f t="shared" si="821"/>
        <v>Ok</v>
      </c>
      <c r="O485" s="37" t="str">
        <f t="shared" si="821"/>
        <v>Ok</v>
      </c>
      <c r="P485" s="37" t="str">
        <f t="shared" si="821"/>
        <v>Ok</v>
      </c>
      <c r="Q485" s="38" t="str">
        <f t="shared" si="821"/>
        <v>Ok</v>
      </c>
      <c r="R485" s="37" t="str">
        <f t="shared" si="821"/>
        <v>Ok</v>
      </c>
      <c r="S485" s="37" t="str">
        <f t="shared" si="821"/>
        <v>Ok</v>
      </c>
      <c r="T485" s="37" t="str">
        <f t="shared" si="821"/>
        <v>Ok</v>
      </c>
      <c r="U485" s="37" t="str">
        <f t="shared" si="821"/>
        <v>Ok</v>
      </c>
      <c r="V485" s="38" t="str">
        <f t="shared" si="821"/>
        <v>Ok</v>
      </c>
      <c r="W485" s="37" t="str">
        <f t="shared" si="821"/>
        <v>Ok</v>
      </c>
      <c r="X485" s="37" t="str">
        <f t="shared" si="821"/>
        <v>Ok</v>
      </c>
      <c r="Y485" s="37" t="str">
        <f t="shared" si="821"/>
        <v>Ok</v>
      </c>
      <c r="Z485" s="37" t="str">
        <f t="shared" si="821"/>
        <v>Ok</v>
      </c>
      <c r="AA485" s="38" t="str">
        <f t="shared" si="821"/>
        <v>Ok</v>
      </c>
      <c r="AB485" s="37" t="str">
        <f t="shared" si="821"/>
        <v>Ok</v>
      </c>
      <c r="AC485" s="37" t="str">
        <f t="shared" si="821"/>
        <v>Ok</v>
      </c>
      <c r="AD485" s="37" t="str">
        <f t="shared" si="821"/>
        <v>Ok</v>
      </c>
      <c r="AE485" s="37" t="str">
        <f t="shared" si="821"/>
        <v>Ok</v>
      </c>
      <c r="AF485" s="38" t="str">
        <f t="shared" si="821"/>
        <v>Ok</v>
      </c>
      <c r="AG485" s="37" t="str">
        <f t="shared" si="821"/>
        <v>Ok</v>
      </c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8" t="s">
        <v>29</v>
      </c>
    </row>
    <row r="486" spans="1:47" ht="7.95" customHeight="1" x14ac:dyDescent="0.3">
      <c r="G486" s="7"/>
      <c r="L486" s="7"/>
      <c r="Q486" s="7"/>
      <c r="V486" s="7"/>
      <c r="AA486" s="7"/>
      <c r="AF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8" t="s">
        <v>29</v>
      </c>
    </row>
    <row r="487" spans="1:47" ht="16.2" customHeight="1" x14ac:dyDescent="0.3">
      <c r="A487" s="9" t="s">
        <v>30</v>
      </c>
      <c r="B487" s="10" t="s">
        <v>271</v>
      </c>
      <c r="C487" s="11"/>
      <c r="D487" s="11"/>
      <c r="E487" s="11"/>
      <c r="F487" s="11"/>
      <c r="G487" s="12"/>
      <c r="H487" s="11"/>
      <c r="I487" s="11"/>
      <c r="J487" s="11"/>
      <c r="K487" s="11"/>
      <c r="L487" s="12"/>
      <c r="M487" s="11"/>
      <c r="N487" s="11"/>
      <c r="O487" s="11"/>
      <c r="P487" s="11"/>
      <c r="Q487" s="12"/>
      <c r="R487" s="11"/>
      <c r="S487" s="11"/>
      <c r="T487" s="11"/>
      <c r="U487" s="11"/>
      <c r="V487" s="12"/>
      <c r="W487" s="11"/>
      <c r="X487" s="11"/>
      <c r="Y487" s="11"/>
      <c r="Z487" s="11"/>
      <c r="AA487" s="12"/>
      <c r="AB487" s="11"/>
      <c r="AC487" s="11"/>
      <c r="AD487" s="11"/>
      <c r="AE487" s="11"/>
      <c r="AF487" s="12"/>
      <c r="AG487" s="11"/>
      <c r="AH487" s="11"/>
      <c r="AI487" s="11"/>
      <c r="AJ487" s="11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8" t="s">
        <v>29</v>
      </c>
    </row>
    <row r="488" spans="1:47" ht="7.95" customHeight="1" x14ac:dyDescent="0.3">
      <c r="G488" s="7"/>
      <c r="L488" s="7"/>
      <c r="Q488" s="7"/>
      <c r="V488" s="7"/>
      <c r="AA488" s="7"/>
      <c r="AF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8" t="s">
        <v>29</v>
      </c>
    </row>
    <row r="489" spans="1:47" ht="16.2" customHeight="1" x14ac:dyDescent="0.3">
      <c r="B489" s="5" t="s">
        <v>272</v>
      </c>
      <c r="C489" s="28">
        <f t="shared" ref="C489:AI489" si="822">C490+C491</f>
        <v>-54.453000000000003</v>
      </c>
      <c r="D489" s="28">
        <f t="shared" si="822"/>
        <v>-26.923000000000002</v>
      </c>
      <c r="E489" s="28">
        <f t="shared" si="822"/>
        <v>-55.727999999999994</v>
      </c>
      <c r="F489" s="28">
        <f t="shared" si="822"/>
        <v>-89.841042659470986</v>
      </c>
      <c r="G489" s="29">
        <f>G490+G491</f>
        <v>-226.94504265947097</v>
      </c>
      <c r="H489" s="28">
        <f t="shared" si="822"/>
        <v>-54.464999999999996</v>
      </c>
      <c r="I489" s="28">
        <f t="shared" si="822"/>
        <v>-77.274954799999946</v>
      </c>
      <c r="J489" s="28">
        <f t="shared" si="822"/>
        <v>-101.92659953993208</v>
      </c>
      <c r="K489" s="28">
        <f t="shared" si="822"/>
        <v>-110.97873166290003</v>
      </c>
      <c r="L489" s="29">
        <f>L490+L491</f>
        <v>-344.64528600283205</v>
      </c>
      <c r="M489" s="28">
        <f t="shared" si="822"/>
        <v>-86.955081549999903</v>
      </c>
      <c r="N489" s="28">
        <f t="shared" si="822"/>
        <v>-106.83325165000001</v>
      </c>
      <c r="O489" s="28">
        <f t="shared" si="822"/>
        <v>-108.846952559524</v>
      </c>
      <c r="P489" s="28">
        <f t="shared" si="822"/>
        <v>-143.40647825807798</v>
      </c>
      <c r="Q489" s="29">
        <f>Q490+Q491</f>
        <v>-446.04176401760191</v>
      </c>
      <c r="R489" s="28">
        <f t="shared" si="822"/>
        <v>-109.67795234</v>
      </c>
      <c r="S489" s="28">
        <f t="shared" si="822"/>
        <v>-122.196</v>
      </c>
      <c r="T489" s="28">
        <f t="shared" si="822"/>
        <v>-129.36500000000001</v>
      </c>
      <c r="U489" s="28">
        <f t="shared" si="822"/>
        <v>-175.84237625000014</v>
      </c>
      <c r="V489" s="29">
        <f>V490+V491</f>
        <v>-537.08132859000011</v>
      </c>
      <c r="W489" s="28">
        <f t="shared" si="822"/>
        <v>-128.12313635000004</v>
      </c>
      <c r="X489" s="28">
        <f t="shared" si="822"/>
        <v>-155.75799999999998</v>
      </c>
      <c r="Y489" s="28">
        <f t="shared" si="822"/>
        <v>-168.35537528</v>
      </c>
      <c r="Z489" s="28">
        <f t="shared" si="822"/>
        <v>-219.05500055000005</v>
      </c>
      <c r="AA489" s="29">
        <f>AA490+AA491</f>
        <v>-671.29151218000015</v>
      </c>
      <c r="AB489" s="28">
        <f t="shared" si="822"/>
        <v>-162.95519813645507</v>
      </c>
      <c r="AC489" s="28">
        <f t="shared" si="822"/>
        <v>-192.614</v>
      </c>
      <c r="AD489" s="28">
        <f t="shared" si="822"/>
        <v>-222.797344406565</v>
      </c>
      <c r="AE489" s="28">
        <f t="shared" si="822"/>
        <v>-249.47300000000001</v>
      </c>
      <c r="AF489" s="29">
        <f>AF490+AF491</f>
        <v>-827.83954254302012</v>
      </c>
      <c r="AG489" s="28">
        <f t="shared" si="822"/>
        <v>-196.79399999999998</v>
      </c>
      <c r="AH489" s="28">
        <f t="shared" si="822"/>
        <v>0</v>
      </c>
      <c r="AI489" s="28">
        <f t="shared" si="822"/>
        <v>0</v>
      </c>
      <c r="AJ489" s="28">
        <f>AJ490+AJ491</f>
        <v>0</v>
      </c>
      <c r="AK489" s="29">
        <f>AK490+AK491</f>
        <v>-196.79399999999998</v>
      </c>
      <c r="AL489" s="174"/>
      <c r="AM489" s="174"/>
      <c r="AN489" s="174"/>
      <c r="AO489" s="174"/>
      <c r="AP489" s="174"/>
      <c r="AQ489" s="174"/>
      <c r="AR489" s="174"/>
      <c r="AS489" s="174"/>
      <c r="AT489" s="174"/>
      <c r="AU489" s="8" t="s">
        <v>29</v>
      </c>
    </row>
    <row r="490" spans="1:47" ht="16.2" customHeight="1" x14ac:dyDescent="0.3">
      <c r="B490" s="20" t="s">
        <v>273</v>
      </c>
      <c r="C490" s="22">
        <v>-26.736000000000001</v>
      </c>
      <c r="D490" s="22">
        <v>-9.7010000000000005</v>
      </c>
      <c r="E490" s="22">
        <v>-27.279</v>
      </c>
      <c r="F490" s="22">
        <v>-47.770108499999985</v>
      </c>
      <c r="G490" s="23">
        <f>SUM(C490:F490)</f>
        <v>-111.48610849999997</v>
      </c>
      <c r="H490" s="22">
        <v>-22.922999999999998</v>
      </c>
      <c r="I490" s="22">
        <v>-38.145690039999991</v>
      </c>
      <c r="J490" s="22">
        <v>-54.526535880000125</v>
      </c>
      <c r="K490" s="22">
        <v>-59.034390660000092</v>
      </c>
      <c r="L490" s="23">
        <f>SUM(H490:K490)</f>
        <v>-174.6296165800002</v>
      </c>
      <c r="M490" s="22">
        <v>-44.911089699999984</v>
      </c>
      <c r="N490" s="22">
        <v>-60.274000000000001</v>
      </c>
      <c r="O490" s="22">
        <v>-59.048319050000032</v>
      </c>
      <c r="P490" s="22">
        <v>-76.423000000000002</v>
      </c>
      <c r="Q490" s="23">
        <f>SUM(M490:P490)</f>
        <v>-240.65640875000003</v>
      </c>
      <c r="R490" s="22">
        <v>-58.382952340000003</v>
      </c>
      <c r="S490" s="22">
        <v>-66.873999999999995</v>
      </c>
      <c r="T490" s="22">
        <v>-69.902000000000001</v>
      </c>
      <c r="U490" s="22">
        <v>-94.101376250000158</v>
      </c>
      <c r="V490" s="23">
        <f>SUM(R490:U490)</f>
        <v>-289.26032859000014</v>
      </c>
      <c r="W490" s="22">
        <v>-66.695136350000055</v>
      </c>
      <c r="X490" s="22">
        <v>-84.783000000000001</v>
      </c>
      <c r="Y490" s="22">
        <v>-90.936999999999998</v>
      </c>
      <c r="Z490" s="22">
        <v>-118.70100055000003</v>
      </c>
      <c r="AA490" s="23">
        <f>SUM(W490:Z490)</f>
        <v>-361.11613690000013</v>
      </c>
      <c r="AB490" s="22">
        <v>-82.968218960000087</v>
      </c>
      <c r="AC490" s="22">
        <v>-103.434</v>
      </c>
      <c r="AD490" s="22">
        <v>-126.84259786999996</v>
      </c>
      <c r="AE490" s="22">
        <v>-131.97300000000001</v>
      </c>
      <c r="AF490" s="23">
        <f>SUM(AB490:AE490)</f>
        <v>-445.21781683000006</v>
      </c>
      <c r="AG490" s="22">
        <v>-100.97499999999999</v>
      </c>
      <c r="AH490" s="167"/>
      <c r="AI490" s="167"/>
      <c r="AJ490" s="167"/>
      <c r="AK490" s="62">
        <f>SUM(AG490:AJ490)</f>
        <v>-100.97499999999999</v>
      </c>
      <c r="AL490" s="171"/>
      <c r="AM490" s="171"/>
      <c r="AN490" s="171"/>
      <c r="AO490" s="171"/>
      <c r="AP490" s="171"/>
      <c r="AQ490" s="171"/>
      <c r="AR490" s="171"/>
      <c r="AS490" s="171"/>
      <c r="AT490" s="171"/>
      <c r="AU490" s="8" t="s">
        <v>29</v>
      </c>
    </row>
    <row r="491" spans="1:47" ht="16.2" customHeight="1" x14ac:dyDescent="0.3">
      <c r="B491" s="20" t="s">
        <v>274</v>
      </c>
      <c r="C491" s="22">
        <f>SUM(C492:C493)</f>
        <v>-27.716999999999999</v>
      </c>
      <c r="D491" s="22">
        <f t="shared" ref="D491:AG491" si="823">SUM(D492:D493)</f>
        <v>-17.222000000000001</v>
      </c>
      <c r="E491" s="22">
        <f t="shared" si="823"/>
        <v>-28.448999999999998</v>
      </c>
      <c r="F491" s="22">
        <f t="shared" si="823"/>
        <v>-42.070934159470994</v>
      </c>
      <c r="G491" s="23">
        <f>G492+G493</f>
        <v>-115.458934159471</v>
      </c>
      <c r="H491" s="22">
        <f t="shared" si="823"/>
        <v>-31.541999999999998</v>
      </c>
      <c r="I491" s="22">
        <f t="shared" si="823"/>
        <v>-39.129264759999955</v>
      </c>
      <c r="J491" s="22">
        <f t="shared" si="823"/>
        <v>-47.400063659931966</v>
      </c>
      <c r="K491" s="22">
        <f t="shared" si="823"/>
        <v>-51.944341002899932</v>
      </c>
      <c r="L491" s="23">
        <f>L492+L493</f>
        <v>-170.01566942283185</v>
      </c>
      <c r="M491" s="22">
        <f t="shared" si="823"/>
        <v>-42.043991849999927</v>
      </c>
      <c r="N491" s="22">
        <f t="shared" si="823"/>
        <v>-46.559251650000007</v>
      </c>
      <c r="O491" s="22">
        <f t="shared" si="823"/>
        <v>-49.798633509523967</v>
      </c>
      <c r="P491" s="22">
        <f t="shared" si="823"/>
        <v>-66.983478258077966</v>
      </c>
      <c r="Q491" s="23">
        <f>Q492+Q493</f>
        <v>-205.38535526760188</v>
      </c>
      <c r="R491" s="22">
        <f t="shared" si="823"/>
        <v>-51.295000000000002</v>
      </c>
      <c r="S491" s="22">
        <f t="shared" si="823"/>
        <v>-55.322000000000003</v>
      </c>
      <c r="T491" s="22">
        <f t="shared" si="823"/>
        <v>-59.462999999999994</v>
      </c>
      <c r="U491" s="22">
        <f t="shared" si="823"/>
        <v>-81.741</v>
      </c>
      <c r="V491" s="23">
        <f>V492+V493</f>
        <v>-247.821</v>
      </c>
      <c r="W491" s="22">
        <f t="shared" si="823"/>
        <v>-61.427999999999997</v>
      </c>
      <c r="X491" s="22">
        <f t="shared" si="823"/>
        <v>-70.974999999999994</v>
      </c>
      <c r="Y491" s="22">
        <f t="shared" si="823"/>
        <v>-77.418375280000006</v>
      </c>
      <c r="Z491" s="22">
        <f t="shared" si="823"/>
        <v>-100.354</v>
      </c>
      <c r="AA491" s="23">
        <f>AA492+AA493</f>
        <v>-310.17537528000003</v>
      </c>
      <c r="AB491" s="22">
        <f t="shared" si="823"/>
        <v>-79.986979176454966</v>
      </c>
      <c r="AC491" s="22">
        <f t="shared" si="823"/>
        <v>-89.18</v>
      </c>
      <c r="AD491" s="22">
        <f t="shared" si="823"/>
        <v>-95.954746536565054</v>
      </c>
      <c r="AE491" s="22">
        <f t="shared" si="823"/>
        <v>-117.5</v>
      </c>
      <c r="AF491" s="23">
        <f>AF492+AF493</f>
        <v>-382.62172571302</v>
      </c>
      <c r="AG491" s="22">
        <f t="shared" si="823"/>
        <v>-95.819000000000003</v>
      </c>
      <c r="AH491" s="167"/>
      <c r="AI491" s="167"/>
      <c r="AJ491" s="167"/>
      <c r="AK491" s="62">
        <f>AK492+AK493</f>
        <v>-95.819000000000003</v>
      </c>
      <c r="AL491" s="171"/>
      <c r="AM491" s="171"/>
      <c r="AN491" s="171"/>
      <c r="AO491" s="171"/>
      <c r="AP491" s="171"/>
      <c r="AQ491" s="171"/>
      <c r="AR491" s="171"/>
      <c r="AS491" s="171"/>
      <c r="AT491" s="171"/>
      <c r="AU491" s="8" t="s">
        <v>29</v>
      </c>
    </row>
    <row r="492" spans="1:47" ht="16.2" customHeight="1" x14ac:dyDescent="0.3">
      <c r="B492" s="24" t="s">
        <v>275</v>
      </c>
      <c r="C492" s="22">
        <v>-14.086</v>
      </c>
      <c r="D492" s="22">
        <v>-8.9039999999999999</v>
      </c>
      <c r="E492" s="22">
        <v>-18.295999999999999</v>
      </c>
      <c r="F492" s="22">
        <v>-24.816660929999948</v>
      </c>
      <c r="G492" s="23">
        <f>SUM(C492:F492)</f>
        <v>-66.102660929999956</v>
      </c>
      <c r="H492" s="22">
        <v>-17.329999999999998</v>
      </c>
      <c r="I492" s="22">
        <v>-19.828264759999954</v>
      </c>
      <c r="J492" s="22">
        <v>-27.931620519999971</v>
      </c>
      <c r="K492" s="22">
        <v>-28.65334728999996</v>
      </c>
      <c r="L492" s="23">
        <f>SUM(H492:K492)</f>
        <v>-93.743232569999876</v>
      </c>
      <c r="M492" s="22">
        <v>-24.526564119999957</v>
      </c>
      <c r="N492" s="22">
        <v>-24.421251650000002</v>
      </c>
      <c r="O492" s="22">
        <v>-27.442848569999963</v>
      </c>
      <c r="P492" s="22">
        <v>-38.715225720000007</v>
      </c>
      <c r="Q492" s="23">
        <f>SUM(M492:P492)</f>
        <v>-115.10589005999994</v>
      </c>
      <c r="R492" s="22">
        <v>-29.265000000000001</v>
      </c>
      <c r="S492" s="22">
        <v>-27.626000000000001</v>
      </c>
      <c r="T492" s="22">
        <v>-31.050999999999998</v>
      </c>
      <c r="U492" s="22">
        <v>-45.841999999999999</v>
      </c>
      <c r="V492" s="23">
        <f>SUM(R492:U492)</f>
        <v>-133.78399999999999</v>
      </c>
      <c r="W492" s="22">
        <v>-31.567</v>
      </c>
      <c r="X492" s="22">
        <v>-35.895000000000003</v>
      </c>
      <c r="Y492" s="22">
        <v>-41.175375280000004</v>
      </c>
      <c r="Z492" s="22">
        <v>-53.393000000000001</v>
      </c>
      <c r="AA492" s="23">
        <f>SUM(W492:Z492)</f>
        <v>-162.03037528000002</v>
      </c>
      <c r="AB492" s="22">
        <v>-41.648378150000013</v>
      </c>
      <c r="AC492" s="22">
        <v>-44.78</v>
      </c>
      <c r="AD492" s="22">
        <v>-49.830720525000132</v>
      </c>
      <c r="AE492" s="22">
        <v>-60.445</v>
      </c>
      <c r="AF492" s="23">
        <f>SUM(AB492:AE492)</f>
        <v>-196.70409867500013</v>
      </c>
      <c r="AG492" s="22">
        <v>-51.307000000000002</v>
      </c>
      <c r="AH492" s="167"/>
      <c r="AI492" s="167"/>
      <c r="AJ492" s="167"/>
      <c r="AK492" s="62">
        <f>SUM(AG492:AJ492)</f>
        <v>-51.307000000000002</v>
      </c>
      <c r="AL492" s="171"/>
      <c r="AM492" s="171"/>
      <c r="AN492" s="171"/>
      <c r="AO492" s="171"/>
      <c r="AP492" s="171"/>
      <c r="AQ492" s="171"/>
      <c r="AR492" s="171"/>
      <c r="AS492" s="171"/>
      <c r="AT492" s="171"/>
      <c r="AU492" s="8" t="s">
        <v>29</v>
      </c>
    </row>
    <row r="493" spans="1:47" ht="16.2" customHeight="1" x14ac:dyDescent="0.3">
      <c r="B493" s="24" t="s">
        <v>276</v>
      </c>
      <c r="C493" s="22">
        <v>-13.631</v>
      </c>
      <c r="D493" s="22">
        <v>-8.3179999999999996</v>
      </c>
      <c r="E493" s="22">
        <v>-10.153</v>
      </c>
      <c r="F493" s="22">
        <v>-17.25427322947105</v>
      </c>
      <c r="G493" s="23">
        <f>SUM(C493:F493)</f>
        <v>-49.356273229471043</v>
      </c>
      <c r="H493" s="22">
        <v>-14.212</v>
      </c>
      <c r="I493" s="22">
        <v>-19.300999999999998</v>
      </c>
      <c r="J493" s="22">
        <v>-19.468443139931995</v>
      </c>
      <c r="K493" s="22">
        <v>-23.290993712899972</v>
      </c>
      <c r="L493" s="23">
        <f>SUM(H493:K493)</f>
        <v>-76.272436852831973</v>
      </c>
      <c r="M493" s="22">
        <v>-17.517427729999969</v>
      </c>
      <c r="N493" s="22">
        <v>-22.138000000000002</v>
      </c>
      <c r="O493" s="22">
        <v>-22.355784939524</v>
      </c>
      <c r="P493" s="22">
        <v>-28.268252538077963</v>
      </c>
      <c r="Q493" s="23">
        <f>SUM(M493:P493)</f>
        <v>-90.27946520760193</v>
      </c>
      <c r="R493" s="22">
        <v>-22.03</v>
      </c>
      <c r="S493" s="22">
        <v>-27.696000000000002</v>
      </c>
      <c r="T493" s="22">
        <v>-28.411999999999999</v>
      </c>
      <c r="U493" s="22">
        <v>-35.899000000000001</v>
      </c>
      <c r="V493" s="23">
        <f>SUM(R493:U493)</f>
        <v>-114.03700000000001</v>
      </c>
      <c r="W493" s="22">
        <v>-29.861000000000001</v>
      </c>
      <c r="X493" s="22">
        <v>-35.08</v>
      </c>
      <c r="Y493" s="22">
        <v>-36.243000000000002</v>
      </c>
      <c r="Z493" s="22">
        <v>-46.960999999999999</v>
      </c>
      <c r="AA493" s="23">
        <f>SUM(W493:Z493)</f>
        <v>-148.14499999999998</v>
      </c>
      <c r="AB493" s="22">
        <v>-38.338601026454953</v>
      </c>
      <c r="AC493" s="22">
        <v>-44.4</v>
      </c>
      <c r="AD493" s="22">
        <v>-46.124026011564922</v>
      </c>
      <c r="AE493" s="22">
        <v>-57.055</v>
      </c>
      <c r="AF493" s="23">
        <f>SUM(AB493:AE493)</f>
        <v>-185.91762703801987</v>
      </c>
      <c r="AG493" s="22">
        <v>-44.512</v>
      </c>
      <c r="AH493" s="167"/>
      <c r="AI493" s="167"/>
      <c r="AJ493" s="167"/>
      <c r="AK493" s="62">
        <f>SUM(AG493:AJ493)</f>
        <v>-44.512</v>
      </c>
      <c r="AL493" s="171"/>
      <c r="AM493" s="171"/>
      <c r="AN493" s="171"/>
      <c r="AO493" s="171"/>
      <c r="AP493" s="171"/>
      <c r="AQ493" s="171"/>
      <c r="AR493" s="171"/>
      <c r="AS493" s="171"/>
      <c r="AT493" s="171"/>
      <c r="AU493" s="8" t="s">
        <v>29</v>
      </c>
    </row>
    <row r="494" spans="1:47" ht="7.95" customHeight="1" x14ac:dyDescent="0.3">
      <c r="G494" s="7"/>
      <c r="L494" s="7"/>
      <c r="Q494" s="7"/>
      <c r="V494" s="7"/>
      <c r="AA494" s="7"/>
      <c r="AF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8" t="s">
        <v>29</v>
      </c>
    </row>
    <row r="495" spans="1:47" ht="16.2" customHeight="1" x14ac:dyDescent="0.3">
      <c r="B495" s="5" t="s">
        <v>272</v>
      </c>
      <c r="C495" s="28">
        <f t="shared" ref="C495:AI495" si="824">C489</f>
        <v>-54.453000000000003</v>
      </c>
      <c r="D495" s="28">
        <f t="shared" si="824"/>
        <v>-26.923000000000002</v>
      </c>
      <c r="E495" s="28">
        <f t="shared" si="824"/>
        <v>-55.727999999999994</v>
      </c>
      <c r="F495" s="28">
        <f t="shared" si="824"/>
        <v>-89.841042659470986</v>
      </c>
      <c r="G495" s="29">
        <f>G489</f>
        <v>-226.94504265947097</v>
      </c>
      <c r="H495" s="28">
        <f t="shared" si="824"/>
        <v>-54.464999999999996</v>
      </c>
      <c r="I495" s="28">
        <f t="shared" si="824"/>
        <v>-77.274954799999946</v>
      </c>
      <c r="J495" s="28">
        <f t="shared" si="824"/>
        <v>-101.92659953993208</v>
      </c>
      <c r="K495" s="28">
        <f t="shared" si="824"/>
        <v>-110.97873166290003</v>
      </c>
      <c r="L495" s="29">
        <f>L489</f>
        <v>-344.64528600283205</v>
      </c>
      <c r="M495" s="28">
        <f t="shared" si="824"/>
        <v>-86.955081549999903</v>
      </c>
      <c r="N495" s="28">
        <f t="shared" si="824"/>
        <v>-106.83325165000001</v>
      </c>
      <c r="O495" s="28">
        <f t="shared" si="824"/>
        <v>-108.846952559524</v>
      </c>
      <c r="P495" s="28">
        <f t="shared" si="824"/>
        <v>-143.40647825807798</v>
      </c>
      <c r="Q495" s="29">
        <f>Q489</f>
        <v>-446.04176401760191</v>
      </c>
      <c r="R495" s="28">
        <f t="shared" si="824"/>
        <v>-109.67795234</v>
      </c>
      <c r="S495" s="28">
        <f t="shared" si="824"/>
        <v>-122.196</v>
      </c>
      <c r="T495" s="28">
        <f t="shared" si="824"/>
        <v>-129.36500000000001</v>
      </c>
      <c r="U495" s="28">
        <f t="shared" si="824"/>
        <v>-175.84237625000014</v>
      </c>
      <c r="V495" s="29">
        <f>V489</f>
        <v>-537.08132859000011</v>
      </c>
      <c r="W495" s="28">
        <f t="shared" si="824"/>
        <v>-128.12313635000004</v>
      </c>
      <c r="X495" s="28">
        <f t="shared" si="824"/>
        <v>-155.75799999999998</v>
      </c>
      <c r="Y495" s="28">
        <f t="shared" si="824"/>
        <v>-168.35537528</v>
      </c>
      <c r="Z495" s="28">
        <f t="shared" si="824"/>
        <v>-219.05500055000005</v>
      </c>
      <c r="AA495" s="29">
        <f>AA489</f>
        <v>-671.29151218000015</v>
      </c>
      <c r="AB495" s="28">
        <f t="shared" si="824"/>
        <v>-162.95519813645507</v>
      </c>
      <c r="AC495" s="28">
        <f t="shared" si="824"/>
        <v>-192.614</v>
      </c>
      <c r="AD495" s="28">
        <f t="shared" si="824"/>
        <v>-222.797344406565</v>
      </c>
      <c r="AE495" s="28">
        <f t="shared" si="824"/>
        <v>-249.47300000000001</v>
      </c>
      <c r="AF495" s="29">
        <f>AF489</f>
        <v>-827.83954254302012</v>
      </c>
      <c r="AG495" s="28">
        <f t="shared" si="824"/>
        <v>-196.79399999999998</v>
      </c>
      <c r="AH495" s="28">
        <f t="shared" si="824"/>
        <v>0</v>
      </c>
      <c r="AI495" s="28">
        <f t="shared" si="824"/>
        <v>0</v>
      </c>
      <c r="AJ495" s="28">
        <f>AJ489</f>
        <v>0</v>
      </c>
      <c r="AK495" s="29">
        <f>AK489</f>
        <v>-196.79399999999998</v>
      </c>
      <c r="AL495" s="174"/>
      <c r="AM495" s="174"/>
      <c r="AN495" s="174"/>
      <c r="AO495" s="174"/>
      <c r="AP495" s="174"/>
      <c r="AQ495" s="174"/>
      <c r="AR495" s="174"/>
      <c r="AS495" s="174"/>
      <c r="AT495" s="174"/>
      <c r="AU495" s="8" t="s">
        <v>29</v>
      </c>
    </row>
    <row r="496" spans="1:47" ht="16.2" customHeight="1" x14ac:dyDescent="0.3">
      <c r="B496" s="20" t="s">
        <v>277</v>
      </c>
      <c r="C496" s="22">
        <v>-26.702000000000002</v>
      </c>
      <c r="D496" s="22">
        <v>-9.7010000000000005</v>
      </c>
      <c r="E496" s="22">
        <v>-27.279</v>
      </c>
      <c r="F496" s="22">
        <v>-47.804000000000002</v>
      </c>
      <c r="G496" s="23">
        <f t="shared" ref="G496:G507" si="825">SUM(C496:F496)</f>
        <v>-111.486</v>
      </c>
      <c r="H496" s="22">
        <v>-22.922999999999998</v>
      </c>
      <c r="I496" s="22">
        <v>-38.146000000000001</v>
      </c>
      <c r="J496" s="22">
        <v>-54.527000000000001</v>
      </c>
      <c r="K496" s="22">
        <v>-59.033999999999999</v>
      </c>
      <c r="L496" s="23">
        <f t="shared" ref="L496:L507" si="826">SUM(H496:K496)</f>
        <v>-174.63</v>
      </c>
      <c r="M496" s="22">
        <v>-44.911000000000001</v>
      </c>
      <c r="N496" s="22">
        <v>-60.274000000000001</v>
      </c>
      <c r="O496" s="22">
        <v>-59.048000000000002</v>
      </c>
      <c r="P496" s="22">
        <v>-76.423000000000002</v>
      </c>
      <c r="Q496" s="23">
        <f t="shared" ref="Q496:Q507" si="827">SUM(M496:P496)</f>
        <v>-240.65600000000001</v>
      </c>
      <c r="R496" s="22">
        <v>-58.383000000000003</v>
      </c>
      <c r="S496" s="22">
        <v>-66.873999999999995</v>
      </c>
      <c r="T496" s="22">
        <v>-69.902000000000001</v>
      </c>
      <c r="U496" s="22">
        <v>-94.100999999999999</v>
      </c>
      <c r="V496" s="23">
        <f t="shared" ref="V496:V507" si="828">SUM(R496:U496)</f>
        <v>-289.26</v>
      </c>
      <c r="W496" s="22">
        <v>-66.694999999999993</v>
      </c>
      <c r="X496" s="22">
        <v>-84.783000000000001</v>
      </c>
      <c r="Y496" s="22">
        <v>-90.936999999999998</v>
      </c>
      <c r="Z496" s="22">
        <v>-118.70099999999999</v>
      </c>
      <c r="AA496" s="23">
        <f t="shared" ref="AA496:AA507" si="829">SUM(W496:Z496)</f>
        <v>-361.11599999999999</v>
      </c>
      <c r="AB496" s="22">
        <v>-82.968000000000004</v>
      </c>
      <c r="AC496" s="22">
        <v>-103.434</v>
      </c>
      <c r="AD496" s="22">
        <v>-126.843</v>
      </c>
      <c r="AE496" s="22">
        <f>-445.218-AD496-AC496-AB496</f>
        <v>-131.97300000000001</v>
      </c>
      <c r="AF496" s="23">
        <f t="shared" ref="AF496:AF507" si="830">SUM(AB496:AE496)</f>
        <v>-445.21800000000002</v>
      </c>
      <c r="AG496" s="22">
        <v>-100.97499999999999</v>
      </c>
      <c r="AH496" s="167"/>
      <c r="AI496" s="167"/>
      <c r="AJ496" s="167"/>
      <c r="AK496" s="62">
        <f t="shared" ref="AK496:AK507" si="831">SUM(AG496:AJ496)</f>
        <v>-100.97499999999999</v>
      </c>
      <c r="AL496" s="171"/>
      <c r="AM496" s="171"/>
      <c r="AN496" s="171"/>
      <c r="AO496" s="171"/>
      <c r="AP496" s="171"/>
      <c r="AQ496" s="171"/>
      <c r="AR496" s="171"/>
      <c r="AS496" s="171"/>
      <c r="AT496" s="171"/>
      <c r="AU496" s="8" t="s">
        <v>29</v>
      </c>
    </row>
    <row r="497" spans="2:47" ht="16.2" customHeight="1" x14ac:dyDescent="0.3">
      <c r="B497" s="20" t="s">
        <v>278</v>
      </c>
      <c r="C497" s="22">
        <v>-15.023</v>
      </c>
      <c r="D497" s="22">
        <v>-7.17</v>
      </c>
      <c r="E497" s="22">
        <v>-13.430999999999999</v>
      </c>
      <c r="F497" s="22">
        <v>-20.067</v>
      </c>
      <c r="G497" s="23">
        <f t="shared" si="825"/>
        <v>-55.690999999999995</v>
      </c>
      <c r="H497" s="22">
        <v>-15.334</v>
      </c>
      <c r="I497" s="22">
        <v>-18.39</v>
      </c>
      <c r="J497" s="22">
        <v>-21.291</v>
      </c>
      <c r="K497" s="22">
        <v>-27.765999999999998</v>
      </c>
      <c r="L497" s="23">
        <f t="shared" si="826"/>
        <v>-82.781000000000006</v>
      </c>
      <c r="M497" s="22">
        <v>-21.792999999999999</v>
      </c>
      <c r="N497" s="22">
        <v>-23.867000000000001</v>
      </c>
      <c r="O497" s="22">
        <v>-25.664000000000001</v>
      </c>
      <c r="P497" s="22">
        <v>-33.680999999999997</v>
      </c>
      <c r="Q497" s="23">
        <f t="shared" si="827"/>
        <v>-105.005</v>
      </c>
      <c r="R497" s="22">
        <v>-26.963999999999999</v>
      </c>
      <c r="S497" s="22">
        <v>-29.981999999999999</v>
      </c>
      <c r="T497" s="22">
        <v>-31.881</v>
      </c>
      <c r="U497" s="22">
        <v>-41.524000000000001</v>
      </c>
      <c r="V497" s="23">
        <f t="shared" si="828"/>
        <v>-130.351</v>
      </c>
      <c r="W497" s="22">
        <v>-31.475999999999999</v>
      </c>
      <c r="X497" s="22">
        <v>-37.134</v>
      </c>
      <c r="Y497" s="22">
        <v>-37.331000000000003</v>
      </c>
      <c r="Z497" s="22">
        <v>-49.067999999999998</v>
      </c>
      <c r="AA497" s="23">
        <f t="shared" si="829"/>
        <v>-155.00900000000001</v>
      </c>
      <c r="AB497" s="22">
        <v>-38.564</v>
      </c>
      <c r="AC497" s="22">
        <v>-46.511000000000003</v>
      </c>
      <c r="AD497" s="22">
        <v>-47.258000000000003</v>
      </c>
      <c r="AE497" s="22">
        <f>-193.782-AD497-AC497-AB497</f>
        <v>-61.449000000000005</v>
      </c>
      <c r="AF497" s="23">
        <f t="shared" si="830"/>
        <v>-193.78200000000001</v>
      </c>
      <c r="AG497" s="22">
        <v>-48.892000000000003</v>
      </c>
      <c r="AH497" s="167"/>
      <c r="AI497" s="167"/>
      <c r="AJ497" s="167"/>
      <c r="AK497" s="62">
        <f t="shared" si="831"/>
        <v>-48.892000000000003</v>
      </c>
      <c r="AL497" s="171"/>
      <c r="AM497" s="171"/>
      <c r="AN497" s="171"/>
      <c r="AO497" s="171"/>
      <c r="AP497" s="171"/>
      <c r="AQ497" s="171"/>
      <c r="AR497" s="171"/>
      <c r="AS497" s="171"/>
      <c r="AT497" s="171"/>
      <c r="AU497" s="8" t="s">
        <v>29</v>
      </c>
    </row>
    <row r="498" spans="2:47" ht="16.2" customHeight="1" x14ac:dyDescent="0.3">
      <c r="B498" s="20" t="s">
        <v>279</v>
      </c>
      <c r="C498" s="22">
        <v>-2.61</v>
      </c>
      <c r="D498" s="22">
        <v>-1.7589999999999999</v>
      </c>
      <c r="E498" s="22">
        <v>-3.3439999999999999</v>
      </c>
      <c r="F498" s="22">
        <v>-5.774</v>
      </c>
      <c r="G498" s="23">
        <f t="shared" si="825"/>
        <v>-13.486999999999998</v>
      </c>
      <c r="H498" s="22">
        <v>-3.3479999999999999</v>
      </c>
      <c r="I498" s="22">
        <v>-4.17</v>
      </c>
      <c r="J498" s="22">
        <v>-5.0750000000000002</v>
      </c>
      <c r="K498" s="22">
        <v>-3.5630000000000002</v>
      </c>
      <c r="L498" s="23">
        <f t="shared" si="826"/>
        <v>-16.155999999999999</v>
      </c>
      <c r="M498" s="22">
        <v>-4.4669999999999996</v>
      </c>
      <c r="N498" s="22">
        <v>-2.8479999999999999</v>
      </c>
      <c r="O498" s="22">
        <v>-3.5059999999999998</v>
      </c>
      <c r="P498" s="22">
        <v>-6.5860000000000003</v>
      </c>
      <c r="Q498" s="23">
        <f t="shared" si="827"/>
        <v>-17.407</v>
      </c>
      <c r="R498" s="22">
        <v>-2.5169999999999999</v>
      </c>
      <c r="S498" s="22">
        <v>-3.1240000000000001</v>
      </c>
      <c r="T498" s="22">
        <v>-3.0609999999999999</v>
      </c>
      <c r="U498" s="22">
        <v>-8.3520000000000003</v>
      </c>
      <c r="V498" s="23">
        <f t="shared" si="828"/>
        <v>-17.054000000000002</v>
      </c>
      <c r="W498" s="22">
        <v>-2.8730000000000002</v>
      </c>
      <c r="X498" s="22">
        <v>-4.5350000000000001</v>
      </c>
      <c r="Y498" s="22">
        <v>-8.3859999999999992</v>
      </c>
      <c r="Z498" s="22">
        <v>-9.9920000000000009</v>
      </c>
      <c r="AA498" s="23">
        <f t="shared" si="829"/>
        <v>-25.786000000000001</v>
      </c>
      <c r="AB498" s="22">
        <v>-6.2590000000000003</v>
      </c>
      <c r="AC498" s="22">
        <v>-6.8940000000000001</v>
      </c>
      <c r="AD498" s="22">
        <v>-11.047000000000001</v>
      </c>
      <c r="AE498" s="22">
        <f>-35.863-AD498-AC498-AB498</f>
        <v>-11.662999999999997</v>
      </c>
      <c r="AF498" s="23">
        <f t="shared" si="830"/>
        <v>-35.863</v>
      </c>
      <c r="AG498" s="22">
        <v>-10.734</v>
      </c>
      <c r="AH498" s="167"/>
      <c r="AI498" s="167"/>
      <c r="AJ498" s="167"/>
      <c r="AK498" s="62">
        <f t="shared" si="831"/>
        <v>-10.734</v>
      </c>
      <c r="AL498" s="171"/>
      <c r="AM498" s="171"/>
      <c r="AN498" s="171"/>
      <c r="AO498" s="171"/>
      <c r="AP498" s="171"/>
      <c r="AQ498" s="171"/>
      <c r="AR498" s="171"/>
      <c r="AS498" s="171"/>
      <c r="AT498" s="171"/>
      <c r="AU498" s="8" t="s">
        <v>29</v>
      </c>
    </row>
    <row r="499" spans="2:47" ht="16.2" customHeight="1" x14ac:dyDescent="0.3">
      <c r="B499" s="20" t="s">
        <v>280</v>
      </c>
      <c r="C499" s="22">
        <v>-2.8340000000000001</v>
      </c>
      <c r="D499" s="22">
        <v>-2.8279999999999998</v>
      </c>
      <c r="E499" s="22">
        <v>-2.794</v>
      </c>
      <c r="F499" s="22">
        <v>-2.6190000000000002</v>
      </c>
      <c r="G499" s="23">
        <f t="shared" si="825"/>
        <v>-11.074999999999999</v>
      </c>
      <c r="H499" s="22">
        <v>-2.4420000000000002</v>
      </c>
      <c r="I499" s="22">
        <v>-2.427</v>
      </c>
      <c r="J499" s="22">
        <v>-3.3260000000000001</v>
      </c>
      <c r="K499" s="22">
        <v>-3.3149999999999999</v>
      </c>
      <c r="L499" s="23">
        <f t="shared" si="826"/>
        <v>-11.51</v>
      </c>
      <c r="M499" s="22">
        <v>-4</v>
      </c>
      <c r="N499" s="22">
        <v>-4.3079999999999998</v>
      </c>
      <c r="O499" s="22">
        <v>-4.6909999999999998</v>
      </c>
      <c r="P499" s="22">
        <v>-5.5449999999999999</v>
      </c>
      <c r="Q499" s="23">
        <f t="shared" si="827"/>
        <v>-18.543999999999997</v>
      </c>
      <c r="R499" s="22">
        <v>-5.8170000000000002</v>
      </c>
      <c r="S499" s="22">
        <v>-6.1920000000000002</v>
      </c>
      <c r="T499" s="22">
        <v>-6.375</v>
      </c>
      <c r="U499" s="22">
        <v>-6.633</v>
      </c>
      <c r="V499" s="23">
        <f t="shared" si="828"/>
        <v>-25.016999999999999</v>
      </c>
      <c r="W499" s="22">
        <v>-7.0979999999999999</v>
      </c>
      <c r="X499" s="22">
        <v>-7.9359999999999999</v>
      </c>
      <c r="Y499" s="22">
        <v>-8.2530000000000001</v>
      </c>
      <c r="Z499" s="22">
        <v>-8.7319999999999993</v>
      </c>
      <c r="AA499" s="23">
        <f t="shared" si="829"/>
        <v>-32.018999999999998</v>
      </c>
      <c r="AB499" s="22">
        <v>-8.266</v>
      </c>
      <c r="AC499" s="22">
        <v>-9.2010000000000005</v>
      </c>
      <c r="AD499" s="22">
        <v>-9.42</v>
      </c>
      <c r="AE499" s="22">
        <f>-36.959-AD499-AC499-AB499</f>
        <v>-10.072000000000001</v>
      </c>
      <c r="AF499" s="23">
        <f t="shared" si="830"/>
        <v>-36.959000000000003</v>
      </c>
      <c r="AG499" s="22">
        <v>-9.9499999999999993</v>
      </c>
      <c r="AH499" s="167"/>
      <c r="AI499" s="167"/>
      <c r="AJ499" s="167"/>
      <c r="AK499" s="62">
        <f t="shared" si="831"/>
        <v>-9.9499999999999993</v>
      </c>
      <c r="AL499" s="171"/>
      <c r="AM499" s="171"/>
      <c r="AN499" s="171"/>
      <c r="AO499" s="171"/>
      <c r="AP499" s="171"/>
      <c r="AQ499" s="171"/>
      <c r="AR499" s="171"/>
      <c r="AS499" s="171"/>
      <c r="AT499" s="171"/>
      <c r="AU499" s="8" t="s">
        <v>29</v>
      </c>
    </row>
    <row r="500" spans="2:47" ht="16.2" customHeight="1" x14ac:dyDescent="0.3">
      <c r="B500" s="20" t="s">
        <v>281</v>
      </c>
      <c r="C500" s="22">
        <v>-0.73599999999999999</v>
      </c>
      <c r="D500" s="22">
        <v>-1.3440000000000001</v>
      </c>
      <c r="E500" s="22">
        <v>-1.86</v>
      </c>
      <c r="F500" s="22">
        <v>-3.0649999999999999</v>
      </c>
      <c r="G500" s="23">
        <f t="shared" si="825"/>
        <v>-7.0050000000000008</v>
      </c>
      <c r="H500" s="22">
        <v>-1.198</v>
      </c>
      <c r="I500" s="22">
        <v>-2.7570000000000001</v>
      </c>
      <c r="J500" s="22">
        <v>-1.95</v>
      </c>
      <c r="K500" s="22">
        <v>-1.724</v>
      </c>
      <c r="L500" s="23">
        <f t="shared" si="826"/>
        <v>-7.6290000000000004</v>
      </c>
      <c r="M500" s="22">
        <v>-0.99299999999999999</v>
      </c>
      <c r="N500" s="22">
        <v>-1.196</v>
      </c>
      <c r="O500" s="22">
        <v>-1.677</v>
      </c>
      <c r="P500" s="22">
        <v>-2.1429999999999998</v>
      </c>
      <c r="Q500" s="23">
        <f t="shared" si="827"/>
        <v>-6.0090000000000003</v>
      </c>
      <c r="R500" s="22">
        <v>-1.8939999999999999</v>
      </c>
      <c r="S500" s="22">
        <v>-1.349</v>
      </c>
      <c r="T500" s="22">
        <v>-1.5680000000000001</v>
      </c>
      <c r="U500" s="22">
        <v>-1.704</v>
      </c>
      <c r="V500" s="23">
        <f t="shared" si="828"/>
        <v>-6.5149999999999997</v>
      </c>
      <c r="W500" s="22">
        <v>-2.085</v>
      </c>
      <c r="X500" s="22">
        <v>-2.2469999999999999</v>
      </c>
      <c r="Y500" s="22">
        <v>-2.581</v>
      </c>
      <c r="Z500" s="22">
        <v>-2.63</v>
      </c>
      <c r="AA500" s="23">
        <f t="shared" si="829"/>
        <v>-9.5429999999999993</v>
      </c>
      <c r="AB500" s="22">
        <v>-2.4849999999999999</v>
      </c>
      <c r="AC500" s="22">
        <v>-3.2570000000000001</v>
      </c>
      <c r="AD500" s="22">
        <v>-2.6880000000000002</v>
      </c>
      <c r="AE500" s="22">
        <f>-11.304-AD500-AC500-AB500</f>
        <v>-2.8740000000000001</v>
      </c>
      <c r="AF500" s="23">
        <f t="shared" si="830"/>
        <v>-11.304</v>
      </c>
      <c r="AG500" s="22">
        <v>-3.4169999999999998</v>
      </c>
      <c r="AH500" s="167"/>
      <c r="AI500" s="167"/>
      <c r="AJ500" s="167"/>
      <c r="AK500" s="62">
        <f t="shared" si="831"/>
        <v>-3.4169999999999998</v>
      </c>
      <c r="AL500" s="171"/>
      <c r="AM500" s="171"/>
      <c r="AN500" s="171"/>
      <c r="AO500" s="171"/>
      <c r="AP500" s="171"/>
      <c r="AQ500" s="171"/>
      <c r="AR500" s="171"/>
      <c r="AS500" s="171"/>
      <c r="AT500" s="171"/>
      <c r="AU500" s="8" t="s">
        <v>29</v>
      </c>
    </row>
    <row r="501" spans="2:47" ht="16.2" customHeight="1" x14ac:dyDescent="0.3">
      <c r="B501" s="20" t="s">
        <v>282</v>
      </c>
      <c r="C501" s="22">
        <v>-2.3610000000000002</v>
      </c>
      <c r="D501" s="22">
        <v>-1.8460000000000001</v>
      </c>
      <c r="E501" s="22">
        <v>-2.706</v>
      </c>
      <c r="F501" s="22">
        <v>-3.3069999999999999</v>
      </c>
      <c r="G501" s="23">
        <f t="shared" si="825"/>
        <v>-10.220000000000001</v>
      </c>
      <c r="H501" s="22">
        <v>-3.5449999999999999</v>
      </c>
      <c r="I501" s="22">
        <v>-4.0570000000000004</v>
      </c>
      <c r="J501" s="22">
        <v>-4.601</v>
      </c>
      <c r="K501" s="22">
        <v>-4.4669999999999996</v>
      </c>
      <c r="L501" s="23">
        <f t="shared" si="826"/>
        <v>-16.669999999999998</v>
      </c>
      <c r="M501" s="22">
        <v>-3.4849999999999999</v>
      </c>
      <c r="N501" s="22">
        <v>-4.8250000000000002</v>
      </c>
      <c r="O501" s="22">
        <v>-4.3040000000000003</v>
      </c>
      <c r="P501" s="22">
        <v>-5.9480000000000004</v>
      </c>
      <c r="Q501" s="23">
        <f t="shared" si="827"/>
        <v>-18.562000000000001</v>
      </c>
      <c r="R501" s="22">
        <v>-4.8070000000000004</v>
      </c>
      <c r="S501" s="22">
        <v>-5.1859999999999999</v>
      </c>
      <c r="T501" s="22">
        <v>-5.3209999999999997</v>
      </c>
      <c r="U501" s="22">
        <v>-6.7530000000000001</v>
      </c>
      <c r="V501" s="23">
        <f t="shared" si="828"/>
        <v>-22.067</v>
      </c>
      <c r="W501" s="22">
        <v>-6.1609999999999996</v>
      </c>
      <c r="X501" s="22">
        <v>-6.6740000000000004</v>
      </c>
      <c r="Y501" s="22">
        <v>-6.96</v>
      </c>
      <c r="Z501" s="22">
        <v>-9.4039999999999999</v>
      </c>
      <c r="AA501" s="23">
        <f t="shared" si="829"/>
        <v>-29.199000000000002</v>
      </c>
      <c r="AB501" s="22">
        <v>-8.4309999999999992</v>
      </c>
      <c r="AC501" s="22">
        <v>-7.4329999999999998</v>
      </c>
      <c r="AD501" s="22">
        <v>-7.548</v>
      </c>
      <c r="AE501" s="22">
        <f>-31.977-AD501-AC501-AB501</f>
        <v>-8.5650000000000031</v>
      </c>
      <c r="AF501" s="23">
        <f t="shared" si="830"/>
        <v>-31.977000000000004</v>
      </c>
      <c r="AG501" s="22">
        <v>-7.8780000000000001</v>
      </c>
      <c r="AH501" s="167"/>
      <c r="AI501" s="167"/>
      <c r="AJ501" s="167"/>
      <c r="AK501" s="62">
        <f t="shared" si="831"/>
        <v>-7.8780000000000001</v>
      </c>
      <c r="AL501" s="171"/>
      <c r="AM501" s="171"/>
      <c r="AN501" s="171"/>
      <c r="AO501" s="171"/>
      <c r="AP501" s="171"/>
      <c r="AQ501" s="171"/>
      <c r="AR501" s="171"/>
      <c r="AS501" s="171"/>
      <c r="AT501" s="171"/>
      <c r="AU501" s="8" t="s">
        <v>29</v>
      </c>
    </row>
    <row r="502" spans="2:47" ht="16.2" customHeight="1" x14ac:dyDescent="0.3">
      <c r="B502" s="20" t="s">
        <v>283</v>
      </c>
      <c r="C502" s="22">
        <v>-1.298</v>
      </c>
      <c r="D502" s="22">
        <v>-0.86899999999999999</v>
      </c>
      <c r="E502" s="22">
        <v>-1.4550000000000001</v>
      </c>
      <c r="F502" s="22">
        <v>-2.4</v>
      </c>
      <c r="G502" s="23">
        <f t="shared" si="825"/>
        <v>-6.0220000000000002</v>
      </c>
      <c r="H502" s="22">
        <v>-2.387</v>
      </c>
      <c r="I502" s="22">
        <v>-2.8839999999999999</v>
      </c>
      <c r="J502" s="22">
        <v>-3.4329999999999998</v>
      </c>
      <c r="K502" s="22">
        <v>-3.4580000000000002</v>
      </c>
      <c r="L502" s="23">
        <f t="shared" si="826"/>
        <v>-12.162000000000001</v>
      </c>
      <c r="M502" s="22">
        <v>-3.1789999999999998</v>
      </c>
      <c r="N502" s="22">
        <v>-3.0209999999999999</v>
      </c>
      <c r="O502" s="22">
        <v>-3.5139999999999998</v>
      </c>
      <c r="P502" s="22">
        <v>-3.34</v>
      </c>
      <c r="Q502" s="23">
        <f t="shared" si="827"/>
        <v>-13.053999999999998</v>
      </c>
      <c r="R502" s="22">
        <v>-3.4790000000000001</v>
      </c>
      <c r="S502" s="22">
        <v>-2.8479999999999999</v>
      </c>
      <c r="T502" s="22">
        <v>-3.5</v>
      </c>
      <c r="U502" s="22">
        <v>-4.6520000000000001</v>
      </c>
      <c r="V502" s="23">
        <f t="shared" si="828"/>
        <v>-14.478999999999999</v>
      </c>
      <c r="W502" s="22">
        <v>-3.452</v>
      </c>
      <c r="X502" s="22">
        <v>-3.1629999999999998</v>
      </c>
      <c r="Y502" s="22">
        <v>-4.0209999999999999</v>
      </c>
      <c r="Z502" s="22">
        <v>-4.8739999999999997</v>
      </c>
      <c r="AA502" s="23">
        <f t="shared" si="829"/>
        <v>-15.509999999999998</v>
      </c>
      <c r="AB502" s="22">
        <v>-4.069</v>
      </c>
      <c r="AC502" s="22">
        <v>-3.8220000000000001</v>
      </c>
      <c r="AD502" s="22">
        <v>-5.2229999999999999</v>
      </c>
      <c r="AE502" s="22">
        <f>-18.019-AD502-AC502-AB502</f>
        <v>-4.9050000000000002</v>
      </c>
      <c r="AF502" s="23">
        <f t="shared" si="830"/>
        <v>-18.019000000000002</v>
      </c>
      <c r="AG502" s="22">
        <v>-4.6559999999999997</v>
      </c>
      <c r="AH502" s="167"/>
      <c r="AI502" s="167"/>
      <c r="AJ502" s="167"/>
      <c r="AK502" s="62">
        <f t="shared" si="831"/>
        <v>-4.6559999999999997</v>
      </c>
      <c r="AL502" s="171"/>
      <c r="AM502" s="171"/>
      <c r="AN502" s="171"/>
      <c r="AO502" s="171"/>
      <c r="AP502" s="171"/>
      <c r="AQ502" s="171"/>
      <c r="AR502" s="171"/>
      <c r="AS502" s="171"/>
      <c r="AT502" s="171"/>
      <c r="AU502" s="8" t="s">
        <v>29</v>
      </c>
    </row>
    <row r="503" spans="2:47" ht="16.2" customHeight="1" x14ac:dyDescent="0.3">
      <c r="B503" s="20" t="s">
        <v>284</v>
      </c>
      <c r="C503" s="22">
        <v>-0.71399999999999997</v>
      </c>
      <c r="D503" s="22">
        <v>-0.41599999999999998</v>
      </c>
      <c r="E503" s="22">
        <v>-0.97399999999999998</v>
      </c>
      <c r="F503" s="22">
        <v>-1.5640000000000001</v>
      </c>
      <c r="G503" s="23">
        <f t="shared" si="825"/>
        <v>-3.6680000000000001</v>
      </c>
      <c r="H503" s="22">
        <v>-0.94399999999999995</v>
      </c>
      <c r="I503" s="22">
        <v>-1.2370000000000001</v>
      </c>
      <c r="J503" s="22">
        <v>-1.391</v>
      </c>
      <c r="K503" s="22">
        <v>-1.923</v>
      </c>
      <c r="L503" s="23">
        <f t="shared" si="826"/>
        <v>-5.4950000000000001</v>
      </c>
      <c r="M503" s="22">
        <v>-1.4059999999999999</v>
      </c>
      <c r="N503" s="22">
        <v>-1.496</v>
      </c>
      <c r="O503" s="22">
        <v>-1.712</v>
      </c>
      <c r="P503" s="22">
        <v>-2.476</v>
      </c>
      <c r="Q503" s="23">
        <f t="shared" si="827"/>
        <v>-7.09</v>
      </c>
      <c r="R503" s="22">
        <v>-1.9510000000000001</v>
      </c>
      <c r="S503" s="22">
        <v>-2.1240000000000001</v>
      </c>
      <c r="T503" s="22">
        <v>-2.3860000000000001</v>
      </c>
      <c r="U503" s="22">
        <v>-3.3260000000000001</v>
      </c>
      <c r="V503" s="23">
        <f t="shared" si="828"/>
        <v>-9.7870000000000008</v>
      </c>
      <c r="W503" s="22">
        <v>-2.6419999999999999</v>
      </c>
      <c r="X503" s="22">
        <v>-2.7669999999999999</v>
      </c>
      <c r="Y503" s="22">
        <v>-2.867</v>
      </c>
      <c r="Z503" s="22">
        <v>-3.9830000000000001</v>
      </c>
      <c r="AA503" s="23">
        <f t="shared" si="829"/>
        <v>-12.259</v>
      </c>
      <c r="AB503" s="22">
        <v>-3.3</v>
      </c>
      <c r="AC503" s="22">
        <v>-3.206</v>
      </c>
      <c r="AD503" s="22">
        <v>-3.4329999999999998</v>
      </c>
      <c r="AE503" s="22">
        <f>-14.726-AD503-AC503-AB503</f>
        <v>-4.7870000000000017</v>
      </c>
      <c r="AF503" s="23">
        <f t="shared" si="830"/>
        <v>-14.726000000000003</v>
      </c>
      <c r="AG503" s="22">
        <v>-3.73</v>
      </c>
      <c r="AH503" s="167"/>
      <c r="AI503" s="167"/>
      <c r="AJ503" s="167"/>
      <c r="AK503" s="62">
        <f t="shared" si="831"/>
        <v>-3.73</v>
      </c>
      <c r="AL503" s="171"/>
      <c r="AM503" s="171"/>
      <c r="AN503" s="171"/>
      <c r="AO503" s="171"/>
      <c r="AP503" s="171"/>
      <c r="AQ503" s="171"/>
      <c r="AR503" s="171"/>
      <c r="AS503" s="171"/>
      <c r="AT503" s="171"/>
      <c r="AU503" s="8" t="s">
        <v>29</v>
      </c>
    </row>
    <row r="504" spans="2:47" ht="16.2" customHeight="1" x14ac:dyDescent="0.3">
      <c r="B504" s="20" t="s">
        <v>285</v>
      </c>
      <c r="C504" s="22">
        <v>-0.13300000000000001</v>
      </c>
      <c r="D504" s="22">
        <v>0</v>
      </c>
      <c r="E504" s="22">
        <v>-0.04</v>
      </c>
      <c r="F504" s="22">
        <v>-3.1E-2</v>
      </c>
      <c r="G504" s="23">
        <f t="shared" si="825"/>
        <v>-0.20400000000000001</v>
      </c>
      <c r="H504" s="22">
        <v>9.4E-2</v>
      </c>
      <c r="I504" s="22">
        <v>-4.4999999999999998E-2</v>
      </c>
      <c r="J504" s="22">
        <v>-0.03</v>
      </c>
      <c r="K504" s="22">
        <v>-8.1000000000000003E-2</v>
      </c>
      <c r="L504" s="23">
        <f t="shared" si="826"/>
        <v>-6.2E-2</v>
      </c>
      <c r="M504" s="22">
        <v>0.08</v>
      </c>
      <c r="N504" s="22">
        <v>-2.1000000000000001E-2</v>
      </c>
      <c r="O504" s="22">
        <v>-0.01</v>
      </c>
      <c r="P504" s="22">
        <v>-0.10100000000000001</v>
      </c>
      <c r="Q504" s="23">
        <f t="shared" si="827"/>
        <v>-5.2000000000000011E-2</v>
      </c>
      <c r="R504" s="22">
        <v>6.7000000000000004E-2</v>
      </c>
      <c r="S504" s="22">
        <v>-0.01</v>
      </c>
      <c r="T504" s="22">
        <v>-8.9999999999999993E-3</v>
      </c>
      <c r="U504" s="22">
        <v>-0.16</v>
      </c>
      <c r="V504" s="23">
        <f t="shared" si="828"/>
        <v>-0.112</v>
      </c>
      <c r="W504" s="22">
        <v>0.114</v>
      </c>
      <c r="X504" s="22">
        <v>-2.1999999999999999E-2</v>
      </c>
      <c r="Y504" s="22">
        <v>2.5999999999999999E-2</v>
      </c>
      <c r="Z504" s="22">
        <v>-0.20799999999999999</v>
      </c>
      <c r="AA504" s="23">
        <f t="shared" si="829"/>
        <v>-0.09</v>
      </c>
      <c r="AB504" s="22">
        <v>0.14599999999999999</v>
      </c>
      <c r="AC504" s="22">
        <v>-4.3999999999999997E-2</v>
      </c>
      <c r="AD504" s="22">
        <v>-1.4999999999999999E-2</v>
      </c>
      <c r="AE504" s="22">
        <f>-0.1-AD504-AC504-AB504</f>
        <v>-0.187</v>
      </c>
      <c r="AF504" s="23">
        <f t="shared" si="830"/>
        <v>-0.1</v>
      </c>
      <c r="AG504" s="22">
        <v>0.14199999999999999</v>
      </c>
      <c r="AH504" s="167"/>
      <c r="AI504" s="167"/>
      <c r="AJ504" s="167"/>
      <c r="AK504" s="62">
        <f t="shared" si="831"/>
        <v>0.14199999999999999</v>
      </c>
      <c r="AL504" s="171"/>
      <c r="AM504" s="171"/>
      <c r="AN504" s="171"/>
      <c r="AO504" s="171"/>
      <c r="AP504" s="171"/>
      <c r="AQ504" s="171"/>
      <c r="AR504" s="171"/>
      <c r="AS504" s="171"/>
      <c r="AT504" s="171"/>
      <c r="AU504" s="8" t="s">
        <v>29</v>
      </c>
    </row>
    <row r="505" spans="2:47" ht="16.2" customHeight="1" x14ac:dyDescent="0.3">
      <c r="B505" s="20" t="s">
        <v>286</v>
      </c>
      <c r="C505" s="22">
        <v>-0.39900000000000002</v>
      </c>
      <c r="D505" s="22">
        <v>-0.17299999999999999</v>
      </c>
      <c r="E505" s="22">
        <v>-0.27200000000000002</v>
      </c>
      <c r="F505" s="22">
        <v>-0.28699999999999998</v>
      </c>
      <c r="G505" s="23">
        <f t="shared" si="825"/>
        <v>-1.131</v>
      </c>
      <c r="H505" s="22">
        <v>-0.376</v>
      </c>
      <c r="I505" s="22">
        <v>-0.32200000000000001</v>
      </c>
      <c r="J505" s="22">
        <v>-0.39200000000000002</v>
      </c>
      <c r="K505" s="22">
        <v>-0.50800000000000001</v>
      </c>
      <c r="L505" s="23">
        <f t="shared" si="826"/>
        <v>-1.5979999999999999</v>
      </c>
      <c r="M505" s="22">
        <v>-0.5</v>
      </c>
      <c r="N505" s="22">
        <v>-0.45800000000000002</v>
      </c>
      <c r="O505" s="22">
        <v>-0.41399999999999998</v>
      </c>
      <c r="P505" s="22">
        <v>-0.48099999999999998</v>
      </c>
      <c r="Q505" s="23">
        <f t="shared" si="827"/>
        <v>-1.8529999999999998</v>
      </c>
      <c r="R505" s="22">
        <v>-0.51900000000000002</v>
      </c>
      <c r="S505" s="22">
        <v>-0.48699999999999999</v>
      </c>
      <c r="T505" s="22">
        <v>-0.53100000000000003</v>
      </c>
      <c r="U505" s="22">
        <v>-0.59899999999999998</v>
      </c>
      <c r="V505" s="23">
        <f t="shared" si="828"/>
        <v>-2.1360000000000001</v>
      </c>
      <c r="W505" s="22">
        <v>-0.59799999999999998</v>
      </c>
      <c r="X505" s="22">
        <v>-0.629</v>
      </c>
      <c r="Y505" s="22">
        <v>-0.67700000000000005</v>
      </c>
      <c r="Z505" s="22">
        <v>-0.73699999999999999</v>
      </c>
      <c r="AA505" s="23">
        <f t="shared" si="829"/>
        <v>-2.641</v>
      </c>
      <c r="AB505" s="22">
        <v>-0.81299999999999994</v>
      </c>
      <c r="AC505" s="22">
        <v>-0.878</v>
      </c>
      <c r="AD505" s="22">
        <v>-0.95499999999999996</v>
      </c>
      <c r="AE505" s="22">
        <f>-3.69-AD505-AC505-AB505</f>
        <v>-1.0439999999999998</v>
      </c>
      <c r="AF505" s="23">
        <f t="shared" si="830"/>
        <v>-3.6899999999999995</v>
      </c>
      <c r="AG505" s="22">
        <v>-0.98799999999999999</v>
      </c>
      <c r="AH505" s="167"/>
      <c r="AI505" s="167"/>
      <c r="AJ505" s="167"/>
      <c r="AK505" s="62">
        <f t="shared" si="831"/>
        <v>-0.98799999999999999</v>
      </c>
      <c r="AL505" s="171"/>
      <c r="AM505" s="171"/>
      <c r="AN505" s="171"/>
      <c r="AO505" s="171"/>
      <c r="AP505" s="171"/>
      <c r="AQ505" s="171"/>
      <c r="AR505" s="171"/>
      <c r="AS505" s="171"/>
      <c r="AT505" s="171"/>
      <c r="AU505" s="8" t="s">
        <v>29</v>
      </c>
    </row>
    <row r="506" spans="2:47" ht="16.2" customHeight="1" x14ac:dyDescent="0.3">
      <c r="B506" s="20" t="s">
        <v>287</v>
      </c>
      <c r="C506" s="22">
        <v>0</v>
      </c>
      <c r="D506" s="22">
        <v>0</v>
      </c>
      <c r="E506" s="22">
        <v>0</v>
      </c>
      <c r="F506" s="22">
        <v>0</v>
      </c>
      <c r="G506" s="23">
        <f t="shared" si="825"/>
        <v>0</v>
      </c>
      <c r="H506" s="22">
        <v>0</v>
      </c>
      <c r="I506" s="22">
        <v>0</v>
      </c>
      <c r="J506" s="22">
        <v>0</v>
      </c>
      <c r="K506" s="22">
        <v>0</v>
      </c>
      <c r="L506" s="23">
        <f t="shared" si="826"/>
        <v>0</v>
      </c>
      <c r="M506" s="22">
        <v>0</v>
      </c>
      <c r="N506" s="22">
        <v>0</v>
      </c>
      <c r="O506" s="22">
        <v>0</v>
      </c>
      <c r="P506" s="22">
        <v>0</v>
      </c>
      <c r="Q506" s="23">
        <f t="shared" si="827"/>
        <v>0</v>
      </c>
      <c r="R506" s="22">
        <v>0</v>
      </c>
      <c r="S506" s="22">
        <v>0</v>
      </c>
      <c r="T506" s="22">
        <v>0</v>
      </c>
      <c r="U506" s="22">
        <v>0</v>
      </c>
      <c r="V506" s="23">
        <f t="shared" si="828"/>
        <v>0</v>
      </c>
      <c r="W506" s="22">
        <v>0</v>
      </c>
      <c r="X506" s="22">
        <v>0</v>
      </c>
      <c r="Y506" s="22">
        <v>0</v>
      </c>
      <c r="Z506" s="22">
        <v>0</v>
      </c>
      <c r="AA506" s="23">
        <f t="shared" si="829"/>
        <v>0</v>
      </c>
      <c r="AB506" s="22">
        <v>0</v>
      </c>
      <c r="AC506" s="22">
        <v>0</v>
      </c>
      <c r="AD506" s="22">
        <v>0</v>
      </c>
      <c r="AE506" s="22">
        <v>0</v>
      </c>
      <c r="AF506" s="23">
        <f t="shared" si="830"/>
        <v>0</v>
      </c>
      <c r="AG506" s="22">
        <v>0</v>
      </c>
      <c r="AH506" s="167"/>
      <c r="AI506" s="167"/>
      <c r="AJ506" s="167"/>
      <c r="AK506" s="62">
        <f t="shared" si="831"/>
        <v>0</v>
      </c>
      <c r="AL506" s="171"/>
      <c r="AM506" s="171"/>
      <c r="AN506" s="171"/>
      <c r="AO506" s="171"/>
      <c r="AP506" s="171"/>
      <c r="AQ506" s="171"/>
      <c r="AR506" s="171"/>
      <c r="AS506" s="171"/>
      <c r="AT506" s="171"/>
      <c r="AU506" s="8" t="s">
        <v>29</v>
      </c>
    </row>
    <row r="507" spans="2:47" ht="16.2" customHeight="1" x14ac:dyDescent="0.3">
      <c r="B507" s="20" t="s">
        <v>136</v>
      </c>
      <c r="C507" s="22">
        <v>-1.609</v>
      </c>
      <c r="D507" s="22">
        <v>-0.81799999999999995</v>
      </c>
      <c r="E507" s="22">
        <v>-1.5720000000000001</v>
      </c>
      <c r="F507" s="22">
        <v>-2.9569999999999999</v>
      </c>
      <c r="G507" s="23">
        <f t="shared" si="825"/>
        <v>-6.9559999999999995</v>
      </c>
      <c r="H507" s="22">
        <v>-2.0609999999999999</v>
      </c>
      <c r="I507" s="22">
        <v>-2.84</v>
      </c>
      <c r="J507" s="22">
        <v>-5.9109999999999996</v>
      </c>
      <c r="K507" s="22">
        <v>-5.1390000000000002</v>
      </c>
      <c r="L507" s="23">
        <f t="shared" si="826"/>
        <v>-15.951000000000001</v>
      </c>
      <c r="M507" s="22">
        <v>-2.3010000000000002</v>
      </c>
      <c r="N507" s="22">
        <v>-4.5190000000000001</v>
      </c>
      <c r="O507" s="22">
        <v>-4.3070000000000004</v>
      </c>
      <c r="P507" s="22">
        <v>-6.6820000000000004</v>
      </c>
      <c r="Q507" s="23">
        <f t="shared" si="827"/>
        <v>-17.809000000000001</v>
      </c>
      <c r="R507" s="22">
        <v>-3.4140000000000001</v>
      </c>
      <c r="S507" s="22">
        <v>-4.0199999999999996</v>
      </c>
      <c r="T507" s="22">
        <v>-4.8310000000000004</v>
      </c>
      <c r="U507" s="22">
        <v>-8.2899999999999991</v>
      </c>
      <c r="V507" s="23">
        <f t="shared" si="828"/>
        <v>-20.555</v>
      </c>
      <c r="W507" s="22">
        <v>-5.157</v>
      </c>
      <c r="X507" s="22">
        <v>-5.9139999999999997</v>
      </c>
      <c r="Y507" s="22">
        <v>-6.3879999999999999</v>
      </c>
      <c r="Z507" s="22">
        <v>-10.66</v>
      </c>
      <c r="AA507" s="23">
        <f t="shared" si="829"/>
        <v>-28.119</v>
      </c>
      <c r="AB507" s="22">
        <v>-7.9459999999999997</v>
      </c>
      <c r="AC507" s="22">
        <v>-7.9340000000000002</v>
      </c>
      <c r="AD507" s="22">
        <v>-8.3680000000000003</v>
      </c>
      <c r="AE507" s="22">
        <f>-36.202-AD507-AC507-AB507</f>
        <v>-11.953999999999995</v>
      </c>
      <c r="AF507" s="23">
        <f t="shared" si="830"/>
        <v>-36.201999999999991</v>
      </c>
      <c r="AG507" s="22">
        <v>-5.7160000000000002</v>
      </c>
      <c r="AH507" s="167"/>
      <c r="AI507" s="167"/>
      <c r="AJ507" s="167"/>
      <c r="AK507" s="62">
        <f t="shared" si="831"/>
        <v>-5.7160000000000002</v>
      </c>
      <c r="AL507" s="171"/>
      <c r="AM507" s="171"/>
      <c r="AN507" s="171"/>
      <c r="AO507" s="171"/>
      <c r="AP507" s="171"/>
      <c r="AQ507" s="171"/>
      <c r="AR507" s="171"/>
      <c r="AS507" s="171"/>
      <c r="AT507" s="171"/>
      <c r="AU507" s="8" t="s">
        <v>29</v>
      </c>
    </row>
    <row r="508" spans="2:47" ht="7.95" customHeight="1" x14ac:dyDescent="0.3">
      <c r="G508" s="7"/>
      <c r="L508" s="7"/>
      <c r="Q508" s="7"/>
      <c r="V508" s="7"/>
      <c r="AA508" s="7"/>
      <c r="AF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8" t="s">
        <v>29</v>
      </c>
    </row>
    <row r="509" spans="2:47" ht="16.2" customHeight="1" x14ac:dyDescent="0.3">
      <c r="B509" s="20" t="s">
        <v>288</v>
      </c>
      <c r="C509" s="22">
        <f t="shared" ref="C509:AE509" si="832">C499</f>
        <v>-2.8340000000000001</v>
      </c>
      <c r="D509" s="22">
        <f t="shared" si="832"/>
        <v>-2.8279999999999998</v>
      </c>
      <c r="E509" s="22">
        <f t="shared" si="832"/>
        <v>-2.794</v>
      </c>
      <c r="F509" s="22">
        <f t="shared" si="832"/>
        <v>-2.6190000000000002</v>
      </c>
      <c r="G509" s="23">
        <f>G499</f>
        <v>-11.074999999999999</v>
      </c>
      <c r="H509" s="22">
        <f t="shared" si="832"/>
        <v>-2.4420000000000002</v>
      </c>
      <c r="I509" s="22">
        <f t="shared" si="832"/>
        <v>-2.427</v>
      </c>
      <c r="J509" s="22">
        <f t="shared" si="832"/>
        <v>-3.3260000000000001</v>
      </c>
      <c r="K509" s="22">
        <f t="shared" si="832"/>
        <v>-3.3149999999999999</v>
      </c>
      <c r="L509" s="23">
        <f>L499</f>
        <v>-11.51</v>
      </c>
      <c r="M509" s="22">
        <f t="shared" si="832"/>
        <v>-4</v>
      </c>
      <c r="N509" s="22">
        <f t="shared" si="832"/>
        <v>-4.3079999999999998</v>
      </c>
      <c r="O509" s="22">
        <f t="shared" si="832"/>
        <v>-4.6909999999999998</v>
      </c>
      <c r="P509" s="22">
        <f t="shared" si="832"/>
        <v>-5.5449999999999999</v>
      </c>
      <c r="Q509" s="23">
        <f>Q499</f>
        <v>-18.543999999999997</v>
      </c>
      <c r="R509" s="22">
        <f t="shared" si="832"/>
        <v>-5.8170000000000002</v>
      </c>
      <c r="S509" s="22">
        <f t="shared" si="832"/>
        <v>-6.1920000000000002</v>
      </c>
      <c r="T509" s="22">
        <f t="shared" si="832"/>
        <v>-6.375</v>
      </c>
      <c r="U509" s="22">
        <f t="shared" si="832"/>
        <v>-6.633</v>
      </c>
      <c r="V509" s="23">
        <f>V499</f>
        <v>-25.016999999999999</v>
      </c>
      <c r="W509" s="22">
        <f t="shared" si="832"/>
        <v>-7.0979999999999999</v>
      </c>
      <c r="X509" s="22">
        <f t="shared" si="832"/>
        <v>-7.9359999999999999</v>
      </c>
      <c r="Y509" s="22">
        <f t="shared" si="832"/>
        <v>-8.2530000000000001</v>
      </c>
      <c r="Z509" s="22">
        <f t="shared" si="832"/>
        <v>-8.7319999999999993</v>
      </c>
      <c r="AA509" s="23">
        <f>AA499</f>
        <v>-32.018999999999998</v>
      </c>
      <c r="AB509" s="22">
        <f t="shared" si="832"/>
        <v>-8.266</v>
      </c>
      <c r="AC509" s="22">
        <f t="shared" si="832"/>
        <v>-9.2010000000000005</v>
      </c>
      <c r="AD509" s="22">
        <f t="shared" si="832"/>
        <v>-9.42</v>
      </c>
      <c r="AE509" s="22">
        <f t="shared" si="832"/>
        <v>-10.072000000000001</v>
      </c>
      <c r="AF509" s="23">
        <f>AF499</f>
        <v>-36.959000000000003</v>
      </c>
      <c r="AG509" s="22">
        <f>AG499</f>
        <v>-9.9499999999999993</v>
      </c>
      <c r="AH509" s="167"/>
      <c r="AI509" s="167"/>
      <c r="AJ509" s="167"/>
      <c r="AK509" s="62">
        <f>AK499</f>
        <v>-9.9499999999999993</v>
      </c>
      <c r="AL509" s="171"/>
      <c r="AM509" s="171"/>
      <c r="AN509" s="171"/>
      <c r="AO509" s="171"/>
      <c r="AP509" s="171"/>
      <c r="AQ509" s="171"/>
      <c r="AR509" s="171"/>
      <c r="AS509" s="171"/>
      <c r="AT509" s="171"/>
      <c r="AU509" s="8" t="s">
        <v>29</v>
      </c>
    </row>
    <row r="510" spans="2:47" ht="16.2" customHeight="1" x14ac:dyDescent="0.3">
      <c r="B510" s="24" t="s">
        <v>289</v>
      </c>
      <c r="C510" s="22">
        <v>-1.4999999999999999E-2</v>
      </c>
      <c r="D510" s="22">
        <v>-1.2E-2</v>
      </c>
      <c r="E510" s="22">
        <v>-1.4999999999999999E-2</v>
      </c>
      <c r="F510" s="22">
        <v>-1.4999999999999999E-2</v>
      </c>
      <c r="G510" s="23">
        <f>SUM(C510:F510)</f>
        <v>-5.6999999999999995E-2</v>
      </c>
      <c r="H510" s="22">
        <v>-1.2999999999999999E-2</v>
      </c>
      <c r="I510" s="22">
        <v>-1.4E-2</v>
      </c>
      <c r="J510" s="22">
        <v>-2.7E-2</v>
      </c>
      <c r="K510" s="22">
        <v>-3.4000000000000002E-2</v>
      </c>
      <c r="L510" s="23">
        <f>SUM(H510:K510)</f>
        <v>-8.7999999999999995E-2</v>
      </c>
      <c r="M510" s="22">
        <v>-5.3999999999999999E-2</v>
      </c>
      <c r="N510" s="22">
        <v>-0.129</v>
      </c>
      <c r="O510" s="22">
        <v>-0.26700000000000002</v>
      </c>
      <c r="P510" s="22">
        <v>-5.7000000000000002E-2</v>
      </c>
      <c r="Q510" s="23">
        <f>SUM(M510:P510)</f>
        <v>-0.50700000000000001</v>
      </c>
      <c r="R510" s="22">
        <v>-0.52800000000000002</v>
      </c>
      <c r="S510" s="22">
        <v>-0.54200000000000004</v>
      </c>
      <c r="T510" s="22">
        <v>-0.76</v>
      </c>
      <c r="U510" s="22">
        <v>-0.76900000000000002</v>
      </c>
      <c r="V510" s="23">
        <f>SUM(R510:U510)</f>
        <v>-2.5990000000000002</v>
      </c>
      <c r="W510" s="22">
        <v>-0.78500000000000003</v>
      </c>
      <c r="X510" s="22">
        <v>-0.26600000000000001</v>
      </c>
      <c r="Y510" s="22">
        <v>-0.53200000000000003</v>
      </c>
      <c r="Z510" s="22">
        <v>-0.57399999999999995</v>
      </c>
      <c r="AA510" s="23">
        <f>SUM(W510:Z510)</f>
        <v>-2.157</v>
      </c>
      <c r="AB510" s="22">
        <v>-0.505</v>
      </c>
      <c r="AC510" s="22">
        <v>-0.68300000000000005</v>
      </c>
      <c r="AD510" s="22">
        <v>-0.72499999999999998</v>
      </c>
      <c r="AE510" s="22">
        <v>0</v>
      </c>
      <c r="AF510" s="23">
        <f>SUM(AB510:AE510)</f>
        <v>-1.9130000000000003</v>
      </c>
      <c r="AG510" s="22">
        <v>-0.57499999999999996</v>
      </c>
      <c r="AH510" s="167"/>
      <c r="AI510" s="167"/>
      <c r="AJ510" s="167"/>
      <c r="AK510" s="62">
        <f>SUM(AG510:AJ510)</f>
        <v>-0.57499999999999996</v>
      </c>
      <c r="AL510" s="171"/>
      <c r="AM510" s="171"/>
      <c r="AN510" s="171"/>
      <c r="AO510" s="171"/>
      <c r="AP510" s="171"/>
      <c r="AQ510" s="171"/>
      <c r="AR510" s="171"/>
      <c r="AS510" s="171"/>
      <c r="AT510" s="171"/>
      <c r="AU510" s="8" t="s">
        <v>29</v>
      </c>
    </row>
    <row r="511" spans="2:47" ht="16.2" customHeight="1" x14ac:dyDescent="0.3">
      <c r="B511" s="24" t="s">
        <v>274</v>
      </c>
      <c r="C511" s="22">
        <f t="shared" ref="C511:AE511" si="833">C509-C510</f>
        <v>-2.819</v>
      </c>
      <c r="D511" s="22">
        <f t="shared" si="833"/>
        <v>-2.8159999999999998</v>
      </c>
      <c r="E511" s="22">
        <f t="shared" si="833"/>
        <v>-2.7789999999999999</v>
      </c>
      <c r="F511" s="22">
        <f t="shared" si="833"/>
        <v>-2.6040000000000001</v>
      </c>
      <c r="G511" s="23">
        <f>G509-G510</f>
        <v>-11.017999999999999</v>
      </c>
      <c r="H511" s="22">
        <f t="shared" si="833"/>
        <v>-2.4290000000000003</v>
      </c>
      <c r="I511" s="22">
        <f t="shared" si="833"/>
        <v>-2.4130000000000003</v>
      </c>
      <c r="J511" s="22">
        <f t="shared" si="833"/>
        <v>-3.2989999999999999</v>
      </c>
      <c r="K511" s="22">
        <f t="shared" si="833"/>
        <v>-3.2810000000000001</v>
      </c>
      <c r="L511" s="23">
        <f>L509-L510</f>
        <v>-11.422000000000001</v>
      </c>
      <c r="M511" s="22">
        <f t="shared" si="833"/>
        <v>-3.9460000000000002</v>
      </c>
      <c r="N511" s="22">
        <f t="shared" si="833"/>
        <v>-4.1790000000000003</v>
      </c>
      <c r="O511" s="22">
        <f t="shared" si="833"/>
        <v>-4.4239999999999995</v>
      </c>
      <c r="P511" s="22">
        <f t="shared" si="833"/>
        <v>-5.4879999999999995</v>
      </c>
      <c r="Q511" s="23">
        <f>Q509-Q510</f>
        <v>-18.036999999999995</v>
      </c>
      <c r="R511" s="22">
        <f t="shared" si="833"/>
        <v>-5.2889999999999997</v>
      </c>
      <c r="S511" s="22">
        <f t="shared" si="833"/>
        <v>-5.65</v>
      </c>
      <c r="T511" s="22">
        <f t="shared" si="833"/>
        <v>-5.6150000000000002</v>
      </c>
      <c r="U511" s="22">
        <f t="shared" si="833"/>
        <v>-5.8639999999999999</v>
      </c>
      <c r="V511" s="23">
        <f>V509-V510</f>
        <v>-22.417999999999999</v>
      </c>
      <c r="W511" s="22">
        <f t="shared" si="833"/>
        <v>-6.3129999999999997</v>
      </c>
      <c r="X511" s="22">
        <f t="shared" si="833"/>
        <v>-7.67</v>
      </c>
      <c r="Y511" s="22">
        <f t="shared" si="833"/>
        <v>-7.7210000000000001</v>
      </c>
      <c r="Z511" s="22">
        <f t="shared" si="833"/>
        <v>-8.1579999999999995</v>
      </c>
      <c r="AA511" s="23">
        <f>AA509-AA510</f>
        <v>-29.861999999999998</v>
      </c>
      <c r="AB511" s="22">
        <f t="shared" si="833"/>
        <v>-7.7610000000000001</v>
      </c>
      <c r="AC511" s="22">
        <f t="shared" si="833"/>
        <v>-8.5180000000000007</v>
      </c>
      <c r="AD511" s="22">
        <f t="shared" si="833"/>
        <v>-8.6950000000000003</v>
      </c>
      <c r="AE511" s="22">
        <f t="shared" si="833"/>
        <v>-10.072000000000001</v>
      </c>
      <c r="AF511" s="23">
        <f>AF509-AF510</f>
        <v>-35.046000000000006</v>
      </c>
      <c r="AG511" s="22">
        <f>AG509-AG510</f>
        <v>-9.375</v>
      </c>
      <c r="AH511" s="167"/>
      <c r="AI511" s="167"/>
      <c r="AJ511" s="167"/>
      <c r="AK511" s="62">
        <f>AK509-AK510</f>
        <v>-9.375</v>
      </c>
      <c r="AL511" s="171"/>
      <c r="AM511" s="171"/>
      <c r="AN511" s="171"/>
      <c r="AO511" s="171"/>
      <c r="AP511" s="171"/>
      <c r="AQ511" s="171"/>
      <c r="AR511" s="171"/>
      <c r="AS511" s="171"/>
      <c r="AT511" s="171"/>
      <c r="AU511" s="8" t="s">
        <v>29</v>
      </c>
    </row>
    <row r="512" spans="2:47" ht="7.95" customHeight="1" x14ac:dyDescent="0.3">
      <c r="G512" s="7"/>
      <c r="L512" s="7"/>
      <c r="Q512" s="7"/>
      <c r="V512" s="7"/>
      <c r="AA512" s="7"/>
      <c r="AF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8" t="s">
        <v>29</v>
      </c>
    </row>
    <row r="513" spans="2:47" ht="16.2" customHeight="1" x14ac:dyDescent="0.3">
      <c r="B513" s="20" t="s">
        <v>288</v>
      </c>
      <c r="D513" s="22">
        <f>D509</f>
        <v>-2.8279999999999998</v>
      </c>
      <c r="E513" s="22">
        <f t="shared" ref="E513:AG513" si="834">E509</f>
        <v>-2.794</v>
      </c>
      <c r="F513" s="22">
        <f t="shared" si="834"/>
        <v>-2.6190000000000002</v>
      </c>
      <c r="G513" s="23">
        <f>G509</f>
        <v>-11.074999999999999</v>
      </c>
      <c r="H513" s="22">
        <f t="shared" si="834"/>
        <v>-2.4420000000000002</v>
      </c>
      <c r="I513" s="22">
        <f t="shared" si="834"/>
        <v>-2.427</v>
      </c>
      <c r="J513" s="22">
        <f t="shared" si="834"/>
        <v>-3.3260000000000001</v>
      </c>
      <c r="K513" s="22">
        <f t="shared" si="834"/>
        <v>-3.3149999999999999</v>
      </c>
      <c r="L513" s="23">
        <f>L509</f>
        <v>-11.51</v>
      </c>
      <c r="M513" s="22">
        <f t="shared" si="834"/>
        <v>-4</v>
      </c>
      <c r="N513" s="22">
        <f t="shared" si="834"/>
        <v>-4.3079999999999998</v>
      </c>
      <c r="O513" s="22">
        <f t="shared" si="834"/>
        <v>-4.6909999999999998</v>
      </c>
      <c r="P513" s="22">
        <f t="shared" si="834"/>
        <v>-5.5449999999999999</v>
      </c>
      <c r="Q513" s="23">
        <f>Q509</f>
        <v>-18.543999999999997</v>
      </c>
      <c r="R513" s="22">
        <f t="shared" si="834"/>
        <v>-5.8170000000000002</v>
      </c>
      <c r="S513" s="22">
        <f t="shared" si="834"/>
        <v>-6.1920000000000002</v>
      </c>
      <c r="T513" s="22">
        <f t="shared" si="834"/>
        <v>-6.375</v>
      </c>
      <c r="U513" s="22">
        <f t="shared" si="834"/>
        <v>-6.633</v>
      </c>
      <c r="V513" s="23">
        <f>V509</f>
        <v>-25.016999999999999</v>
      </c>
      <c r="W513" s="22">
        <f t="shared" si="834"/>
        <v>-7.0979999999999999</v>
      </c>
      <c r="X513" s="22">
        <f t="shared" si="834"/>
        <v>-7.9359999999999999</v>
      </c>
      <c r="Y513" s="22">
        <f t="shared" si="834"/>
        <v>-8.2530000000000001</v>
      </c>
      <c r="Z513" s="22">
        <f t="shared" si="834"/>
        <v>-8.7319999999999993</v>
      </c>
      <c r="AA513" s="23">
        <f>AA509</f>
        <v>-32.018999999999998</v>
      </c>
      <c r="AB513" s="22">
        <f t="shared" si="834"/>
        <v>-8.266</v>
      </c>
      <c r="AC513" s="22">
        <f t="shared" si="834"/>
        <v>-9.2010000000000005</v>
      </c>
      <c r="AD513" s="22">
        <f t="shared" si="834"/>
        <v>-9.42</v>
      </c>
      <c r="AE513" s="22">
        <f t="shared" si="834"/>
        <v>-10.072000000000001</v>
      </c>
      <c r="AF513" s="23">
        <f>AF509</f>
        <v>-36.959000000000003</v>
      </c>
      <c r="AG513" s="22">
        <f t="shared" si="834"/>
        <v>-9.9499999999999993</v>
      </c>
      <c r="AH513" s="22">
        <f>SUM(AH514:AH516)</f>
        <v>-11.255132025582128</v>
      </c>
      <c r="AI513" s="22">
        <f t="shared" ref="AI513:AJ513" ca="1" si="835">SUM(AI514:AI516)</f>
        <v>-11.558525733903654</v>
      </c>
      <c r="AJ513" s="22">
        <f t="shared" ca="1" si="835"/>
        <v>-12.362183192357184</v>
      </c>
      <c r="AK513" s="23">
        <f>AK509</f>
        <v>-9.9499999999999993</v>
      </c>
      <c r="AL513" s="23">
        <f ca="1">SUM(AL514:AL516)</f>
        <v>-55.451571429157028</v>
      </c>
      <c r="AM513" s="23">
        <f ca="1">SUM(AM514:AM516)</f>
        <v>-65.692382574732065</v>
      </c>
      <c r="AN513" s="23">
        <f t="shared" ref="AN513:AT513" ca="1" si="836">SUM(AN514:AN516)</f>
        <v>-76.56359306366798</v>
      </c>
      <c r="AO513" s="23">
        <f t="shared" ca="1" si="836"/>
        <v>-88.14702743114438</v>
      </c>
      <c r="AP513" s="23">
        <f t="shared" ca="1" si="836"/>
        <v>-100.52105338955579</v>
      </c>
      <c r="AQ513" s="23">
        <f t="shared" ca="1" si="836"/>
        <v>-113.76236271039318</v>
      </c>
      <c r="AR513" s="23">
        <f t="shared" ca="1" si="836"/>
        <v>-127.94735190045182</v>
      </c>
      <c r="AS513" s="23">
        <f t="shared" ca="1" si="836"/>
        <v>-143.15321465539301</v>
      </c>
      <c r="AT513" s="23">
        <f t="shared" ca="1" si="836"/>
        <v>-159.45882671536663</v>
      </c>
      <c r="AU513" s="8" t="s">
        <v>29</v>
      </c>
    </row>
    <row r="514" spans="2:47" ht="16.2" customHeight="1" x14ac:dyDescent="0.3">
      <c r="B514" s="24" t="s">
        <v>71</v>
      </c>
      <c r="C514" s="22"/>
      <c r="D514" s="22">
        <f t="shared" ref="D514:AJ514" si="837">D424</f>
        <v>-0.62</v>
      </c>
      <c r="E514" s="22">
        <f t="shared" si="837"/>
        <v>-0.496</v>
      </c>
      <c r="F514" s="22">
        <f t="shared" si="837"/>
        <v>-8.7620000000000005</v>
      </c>
      <c r="G514" s="23">
        <f>G424</f>
        <v>-10.454000000000001</v>
      </c>
      <c r="H514" s="22">
        <f t="shared" si="837"/>
        <v>1.22</v>
      </c>
      <c r="I514" s="22">
        <f t="shared" si="837"/>
        <v>3.6419999999999999</v>
      </c>
      <c r="J514" s="22">
        <f t="shared" si="837"/>
        <v>-1.7629999999999999</v>
      </c>
      <c r="K514" s="22">
        <f t="shared" si="837"/>
        <v>-1.5249999999999999</v>
      </c>
      <c r="L514" s="23">
        <f>L424</f>
        <v>1.5740000000000003</v>
      </c>
      <c r="M514" s="22">
        <f t="shared" si="837"/>
        <v>-0.875</v>
      </c>
      <c r="N514" s="22">
        <f>N424</f>
        <v>-10.831</v>
      </c>
      <c r="O514" s="22">
        <f t="shared" si="837"/>
        <v>-10.581</v>
      </c>
      <c r="P514" s="22">
        <f t="shared" si="837"/>
        <v>-1.4510000000000001</v>
      </c>
      <c r="Q514" s="23">
        <f>Q424</f>
        <v>-23.738</v>
      </c>
      <c r="R514" s="22">
        <f t="shared" si="837"/>
        <v>-1.6910000000000001</v>
      </c>
      <c r="S514" s="22">
        <f t="shared" si="837"/>
        <v>-1.8160000000000001</v>
      </c>
      <c r="T514" s="22">
        <f t="shared" si="837"/>
        <v>-1.8520000000000001</v>
      </c>
      <c r="U514" s="22">
        <f t="shared" si="837"/>
        <v>-1.99</v>
      </c>
      <c r="V514" s="23">
        <f>V424</f>
        <v>-7.3490000000000002</v>
      </c>
      <c r="W514" s="22">
        <f t="shared" si="837"/>
        <v>-2.3220000000000001</v>
      </c>
      <c r="X514" s="22">
        <f t="shared" si="837"/>
        <v>-2.5249999999999999</v>
      </c>
      <c r="Y514" s="22">
        <f t="shared" si="837"/>
        <v>-2.8490000000000002</v>
      </c>
      <c r="Z514" s="22">
        <f t="shared" si="837"/>
        <v>-3.278</v>
      </c>
      <c r="AA514" s="23">
        <f>AA424</f>
        <v>-10.974</v>
      </c>
      <c r="AB514" s="22">
        <f t="shared" si="837"/>
        <v>-2.5190000000000001</v>
      </c>
      <c r="AC514" s="22">
        <f t="shared" si="837"/>
        <v>-2.92</v>
      </c>
      <c r="AD514" s="22">
        <f t="shared" si="837"/>
        <v>-3.0880000000000001</v>
      </c>
      <c r="AE514" s="22">
        <f t="shared" si="837"/>
        <v>-3.3959999999999999</v>
      </c>
      <c r="AF514" s="23">
        <f>AF424</f>
        <v>-11.923000000000002</v>
      </c>
      <c r="AG514" s="22">
        <f t="shared" si="837"/>
        <v>-3.7250000000000001</v>
      </c>
      <c r="AH514" s="22">
        <f t="shared" si="837"/>
        <v>-3.8767691208005717</v>
      </c>
      <c r="AI514" s="22">
        <f t="shared" ca="1" si="837"/>
        <v>-4.1296285513903959</v>
      </c>
      <c r="AJ514" s="22">
        <f t="shared" ca="1" si="837"/>
        <v>-4.3898383072481888</v>
      </c>
      <c r="AK514" s="23">
        <f ca="1">AK424</f>
        <v>-16.121235979439156</v>
      </c>
      <c r="AL514" s="23">
        <f ca="1">AL424</f>
        <v>-20.557814610120133</v>
      </c>
      <c r="AM514" s="23">
        <f ca="1">AM424</f>
        <v>-25.138126969828964</v>
      </c>
      <c r="AN514" s="23">
        <f t="shared" ref="AN514:AT514" ca="1" si="838">AN424</f>
        <v>-29.931963767017375</v>
      </c>
      <c r="AO514" s="23">
        <f t="shared" ca="1" si="838"/>
        <v>-34.97796522792612</v>
      </c>
      <c r="AP514" s="23">
        <f t="shared" ca="1" si="838"/>
        <v>-40.312898972284053</v>
      </c>
      <c r="AQ514" s="23">
        <f t="shared" ca="1" si="838"/>
        <v>-45.972258448741329</v>
      </c>
      <c r="AR514" s="23">
        <f t="shared" ca="1" si="838"/>
        <v>-51.990773618183312</v>
      </c>
      <c r="AS514" s="23">
        <f t="shared" ca="1" si="838"/>
        <v>-58.402849784930766</v>
      </c>
      <c r="AT514" s="23">
        <f t="shared" ca="1" si="838"/>
        <v>-65.242947783527967</v>
      </c>
      <c r="AU514" s="8" t="s">
        <v>29</v>
      </c>
    </row>
    <row r="515" spans="2:47" ht="16.2" customHeight="1" x14ac:dyDescent="0.3">
      <c r="B515" s="24" t="s">
        <v>72</v>
      </c>
      <c r="C515" s="22"/>
      <c r="D515" s="22">
        <f t="shared" ref="D515:AJ515" si="839">D449</f>
        <v>-0.17499999999999999</v>
      </c>
      <c r="E515" s="22">
        <f t="shared" si="839"/>
        <v>-0.16800000000000001</v>
      </c>
      <c r="F515" s="22">
        <f t="shared" si="839"/>
        <v>-0.17100000000000001</v>
      </c>
      <c r="G515" s="23">
        <f>G449</f>
        <v>-0.67800000000000005</v>
      </c>
      <c r="H515" s="22">
        <f t="shared" si="839"/>
        <v>-7.4999999999999997E-2</v>
      </c>
      <c r="I515" s="22">
        <f t="shared" si="839"/>
        <v>-0.08</v>
      </c>
      <c r="J515" s="22">
        <f t="shared" si="839"/>
        <v>-0.08</v>
      </c>
      <c r="K515" s="22">
        <f t="shared" si="839"/>
        <v>-8.2000000000000003E-2</v>
      </c>
      <c r="L515" s="23">
        <f>L449</f>
        <v>-0.317</v>
      </c>
      <c r="M515" s="22">
        <f t="shared" si="839"/>
        <v>-0.35499999999999998</v>
      </c>
      <c r="N515" s="22">
        <f t="shared" si="839"/>
        <v>-0.42099999999999999</v>
      </c>
      <c r="O515" s="22">
        <f t="shared" si="839"/>
        <v>-0.53500000000000003</v>
      </c>
      <c r="P515" s="22">
        <f t="shared" si="839"/>
        <v>-0.66600000000000004</v>
      </c>
      <c r="Q515" s="23">
        <f>Q449</f>
        <v>-1.9769999999999999</v>
      </c>
      <c r="R515" s="22">
        <f t="shared" si="839"/>
        <v>-0.79700000000000004</v>
      </c>
      <c r="S515" s="22">
        <f t="shared" si="839"/>
        <v>-0.92900000000000005</v>
      </c>
      <c r="T515" s="22">
        <f t="shared" si="839"/>
        <v>-1.0509999999999999</v>
      </c>
      <c r="U515" s="22">
        <f t="shared" si="839"/>
        <v>-1.117</v>
      </c>
      <c r="V515" s="23">
        <f>V449</f>
        <v>-3.8940000000000001</v>
      </c>
      <c r="W515" s="22">
        <f t="shared" si="839"/>
        <v>-1.2989999999999999</v>
      </c>
      <c r="X515" s="22">
        <f t="shared" si="839"/>
        <v>-1.361</v>
      </c>
      <c r="Y515" s="22">
        <f t="shared" si="839"/>
        <v>-1.466</v>
      </c>
      <c r="Z515" s="22">
        <f t="shared" si="839"/>
        <v>-1.458</v>
      </c>
      <c r="AA515" s="23">
        <f>AA449</f>
        <v>-5.5840000000000005</v>
      </c>
      <c r="AB515" s="22">
        <f t="shared" si="839"/>
        <v>-1.556</v>
      </c>
      <c r="AC515" s="22">
        <f t="shared" si="839"/>
        <v>-1.9430000000000001</v>
      </c>
      <c r="AD515" s="22">
        <f t="shared" si="839"/>
        <v>-2.1960000000000002</v>
      </c>
      <c r="AE515" s="22">
        <f t="shared" si="839"/>
        <v>-2.2829999999999999</v>
      </c>
      <c r="AF515" s="23">
        <f>AF449</f>
        <v>-7.9779999999999998</v>
      </c>
      <c r="AG515" s="22">
        <f t="shared" si="839"/>
        <v>-1.524</v>
      </c>
      <c r="AH515" s="22">
        <f t="shared" si="839"/>
        <v>-1.8835600000000003</v>
      </c>
      <c r="AI515" s="22">
        <f t="shared" si="839"/>
        <v>-1.9340942777317005</v>
      </c>
      <c r="AJ515" s="22">
        <f t="shared" si="839"/>
        <v>-1.9912768012535582</v>
      </c>
      <c r="AK515" s="23">
        <f>AK449</f>
        <v>-7.3329310789852595</v>
      </c>
      <c r="AL515" s="23">
        <f>AL449</f>
        <v>-9.0319984179378316</v>
      </c>
      <c r="AM515" s="23">
        <f>AM449</f>
        <v>-10.771520930089022</v>
      </c>
      <c r="AN515" s="23">
        <f t="shared" ref="AN515:AT515" si="840">AN449</f>
        <v>-12.600475116752746</v>
      </c>
      <c r="AO515" s="23">
        <f t="shared" si="840"/>
        <v>-14.539103404415291</v>
      </c>
      <c r="AP515" s="23">
        <f t="shared" si="840"/>
        <v>-16.604588423122891</v>
      </c>
      <c r="AQ515" s="23">
        <f t="shared" si="840"/>
        <v>-18.812145249619526</v>
      </c>
      <c r="AR515" s="23">
        <f t="shared" si="840"/>
        <v>-21.175795865549748</v>
      </c>
      <c r="AS515" s="23">
        <f t="shared" si="840"/>
        <v>-23.708921606118512</v>
      </c>
      <c r="AT515" s="23">
        <f t="shared" si="840"/>
        <v>-26.424660691149192</v>
      </c>
      <c r="AU515" s="8" t="s">
        <v>29</v>
      </c>
    </row>
    <row r="516" spans="2:47" ht="16.2" customHeight="1" x14ac:dyDescent="0.3">
      <c r="B516" s="24" t="s">
        <v>290</v>
      </c>
      <c r="C516" s="97"/>
      <c r="D516" s="22">
        <f>D351</f>
        <v>-2.0030000000000001</v>
      </c>
      <c r="E516" s="22">
        <f t="shared" ref="E516:AJ516" si="841">E351</f>
        <v>-2.0230000000000001</v>
      </c>
      <c r="F516" s="22">
        <f t="shared" si="841"/>
        <v>-1.859</v>
      </c>
      <c r="G516" s="23">
        <f>G351</f>
        <v>-5.8849999999999998</v>
      </c>
      <c r="H516" s="22">
        <f t="shared" si="841"/>
        <v>-1.7070000000000001</v>
      </c>
      <c r="I516" s="22">
        <f t="shared" si="841"/>
        <v>-1.7949999999999999</v>
      </c>
      <c r="J516" s="22">
        <f t="shared" si="841"/>
        <v>-2.5550000000000002</v>
      </c>
      <c r="K516" s="22">
        <f t="shared" si="841"/>
        <v>-2.4140000000000001</v>
      </c>
      <c r="L516" s="23">
        <f>L351</f>
        <v>-8.4710000000000001</v>
      </c>
      <c r="M516" s="22">
        <f t="shared" si="841"/>
        <v>-2.8239999999999998</v>
      </c>
      <c r="N516" s="22">
        <f t="shared" si="841"/>
        <v>-3.0710000000000002</v>
      </c>
      <c r="O516" s="22">
        <f t="shared" si="841"/>
        <v>-3.2189999999999999</v>
      </c>
      <c r="P516" s="22">
        <f t="shared" si="841"/>
        <v>-3.7010000000000001</v>
      </c>
      <c r="Q516" s="23">
        <f>Q351</f>
        <v>-12.815</v>
      </c>
      <c r="R516" s="22">
        <f t="shared" si="841"/>
        <v>-3.8570000000000002</v>
      </c>
      <c r="S516" s="22">
        <f t="shared" si="841"/>
        <v>-3.9889999999999999</v>
      </c>
      <c r="T516" s="22">
        <f t="shared" si="841"/>
        <v>-4.2320000000000002</v>
      </c>
      <c r="U516" s="22">
        <f t="shared" si="841"/>
        <v>-4.2949999999999999</v>
      </c>
      <c r="V516" s="23">
        <f>V351</f>
        <v>-16.372999999999998</v>
      </c>
      <c r="W516" s="22">
        <f t="shared" si="841"/>
        <v>-4.2619999999999996</v>
      </c>
      <c r="X516" s="22">
        <f t="shared" si="841"/>
        <v>-4.3159999999999998</v>
      </c>
      <c r="Y516" s="22">
        <f t="shared" si="841"/>
        <v>-4.47</v>
      </c>
      <c r="Z516" s="22">
        <f t="shared" si="841"/>
        <v>-4.57</v>
      </c>
      <c r="AA516" s="23">
        <f>AA351</f>
        <v>-17.617999999999999</v>
      </c>
      <c r="AB516" s="22">
        <f t="shared" si="841"/>
        <v>-4.6959999999999997</v>
      </c>
      <c r="AC516" s="22">
        <f t="shared" si="841"/>
        <v>-5.0209999999999999</v>
      </c>
      <c r="AD516" s="22">
        <f t="shared" si="841"/>
        <v>-4.8620000000000001</v>
      </c>
      <c r="AE516" s="22">
        <f t="shared" si="841"/>
        <v>-5.1269999999999998</v>
      </c>
      <c r="AF516" s="23">
        <f>AF351</f>
        <v>-19.706</v>
      </c>
      <c r="AG516" s="22">
        <f t="shared" si="841"/>
        <v>-5.2759999999999998</v>
      </c>
      <c r="AH516" s="22">
        <f t="shared" si="841"/>
        <v>-5.4948029047815563</v>
      </c>
      <c r="AI516" s="22">
        <f t="shared" si="841"/>
        <v>-5.4948029047815563</v>
      </c>
      <c r="AJ516" s="22">
        <f t="shared" si="841"/>
        <v>-5.9810680838554369</v>
      </c>
      <c r="AK516" s="23">
        <f>AK351</f>
        <v>-22.246673893418549</v>
      </c>
      <c r="AL516" s="23">
        <f>AL351</f>
        <v>-25.86175840109906</v>
      </c>
      <c r="AM516" s="23">
        <f>AM351</f>
        <v>-29.782734674814083</v>
      </c>
      <c r="AN516" s="23">
        <f t="shared" ref="AN516:AT516" si="842">AN351</f>
        <v>-34.031154179897854</v>
      </c>
      <c r="AO516" s="23">
        <f t="shared" si="842"/>
        <v>-38.629958798802974</v>
      </c>
      <c r="AP516" s="23">
        <f t="shared" si="842"/>
        <v>-43.603565994148852</v>
      </c>
      <c r="AQ516" s="23">
        <f t="shared" si="842"/>
        <v>-48.977959012032322</v>
      </c>
      <c r="AR516" s="23">
        <f t="shared" si="842"/>
        <v>-54.780782416718765</v>
      </c>
      <c r="AS516" s="23">
        <f t="shared" si="842"/>
        <v>-61.041443264343755</v>
      </c>
      <c r="AT516" s="23">
        <f t="shared" si="842"/>
        <v>-67.79121824068946</v>
      </c>
      <c r="AU516" s="8" t="s">
        <v>29</v>
      </c>
    </row>
    <row r="517" spans="2:47" ht="16.2" customHeight="1" x14ac:dyDescent="0.3">
      <c r="B517" s="41" t="s">
        <v>291</v>
      </c>
      <c r="C517" s="41"/>
      <c r="D517" s="98">
        <f>D513-D514-D515-D516</f>
        <v>-2.9999999999999805E-2</v>
      </c>
      <c r="E517" s="98">
        <f t="shared" ref="E517:AG517" si="843">E513-E514-E515-E516</f>
        <v>-0.10699999999999976</v>
      </c>
      <c r="F517" s="98">
        <f t="shared" si="843"/>
        <v>8.1730000000000018</v>
      </c>
      <c r="G517" s="99">
        <f>G513-G514-G515-G516</f>
        <v>5.9420000000000011</v>
      </c>
      <c r="H517" s="98">
        <f t="shared" si="843"/>
        <v>-1.8799999999999997</v>
      </c>
      <c r="I517" s="98">
        <f t="shared" si="843"/>
        <v>-4.194</v>
      </c>
      <c r="J517" s="98">
        <f t="shared" si="843"/>
        <v>1.0720000000000001</v>
      </c>
      <c r="K517" s="98">
        <f t="shared" si="843"/>
        <v>0.70600000000000018</v>
      </c>
      <c r="L517" s="99">
        <f>L513-L514-L515-L516</f>
        <v>-4.2959999999999994</v>
      </c>
      <c r="M517" s="98">
        <f t="shared" si="843"/>
        <v>5.3999999999999826E-2</v>
      </c>
      <c r="N517" s="98">
        <f t="shared" si="843"/>
        <v>10.015000000000001</v>
      </c>
      <c r="O517" s="98">
        <f t="shared" si="843"/>
        <v>9.6440000000000001</v>
      </c>
      <c r="P517" s="98">
        <f t="shared" si="843"/>
        <v>0.27300000000000058</v>
      </c>
      <c r="Q517" s="99">
        <f>Q513-Q514-Q515-Q516</f>
        <v>19.986000000000004</v>
      </c>
      <c r="R517" s="98">
        <f t="shared" si="843"/>
        <v>0.52800000000000002</v>
      </c>
      <c r="S517" s="98">
        <f t="shared" si="843"/>
        <v>0.54199999999999982</v>
      </c>
      <c r="T517" s="98">
        <f t="shared" si="843"/>
        <v>0.76000000000000068</v>
      </c>
      <c r="U517" s="98">
        <f t="shared" si="843"/>
        <v>0.76900000000000013</v>
      </c>
      <c r="V517" s="99">
        <f>V513-V514-V515-V516</f>
        <v>2.5989999999999984</v>
      </c>
      <c r="W517" s="98">
        <f t="shared" si="843"/>
        <v>0.7849999999999997</v>
      </c>
      <c r="X517" s="98">
        <f t="shared" si="843"/>
        <v>0.26600000000000001</v>
      </c>
      <c r="Y517" s="98">
        <f t="shared" si="843"/>
        <v>0.53200000000000003</v>
      </c>
      <c r="Z517" s="98">
        <f t="shared" si="843"/>
        <v>0.57400000000000162</v>
      </c>
      <c r="AA517" s="99">
        <f>AA513-AA514-AA515-AA516</f>
        <v>2.157</v>
      </c>
      <c r="AB517" s="98">
        <f t="shared" si="843"/>
        <v>0.50499999999999989</v>
      </c>
      <c r="AC517" s="98">
        <f t="shared" si="843"/>
        <v>0.68299999999999894</v>
      </c>
      <c r="AD517" s="98">
        <f t="shared" si="843"/>
        <v>0.72600000000000087</v>
      </c>
      <c r="AE517" s="98">
        <f t="shared" si="843"/>
        <v>0.7339999999999991</v>
      </c>
      <c r="AF517" s="99">
        <f>AF513-AF514-AF515-AF516</f>
        <v>2.6479999999999997</v>
      </c>
      <c r="AG517" s="98">
        <f t="shared" si="843"/>
        <v>0.57500000000000018</v>
      </c>
      <c r="AH517" s="175"/>
      <c r="AI517" s="175"/>
      <c r="AJ517" s="175"/>
      <c r="AK517" s="100">
        <f ca="1">AK513-AK514-AK515-AK516</f>
        <v>35.750840951842967</v>
      </c>
      <c r="AL517" s="176"/>
      <c r="AM517" s="176"/>
      <c r="AN517" s="176"/>
      <c r="AO517" s="176"/>
      <c r="AP517" s="176"/>
      <c r="AQ517" s="176"/>
      <c r="AR517" s="176"/>
      <c r="AS517" s="176"/>
      <c r="AT517" s="176"/>
      <c r="AU517" s="8" t="s">
        <v>29</v>
      </c>
    </row>
    <row r="518" spans="2:47" ht="7.95" customHeight="1" x14ac:dyDescent="0.3">
      <c r="G518" s="7"/>
      <c r="L518" s="7"/>
      <c r="Q518" s="7"/>
      <c r="V518" s="7"/>
      <c r="AA518" s="7"/>
      <c r="AF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8" t="s">
        <v>29</v>
      </c>
    </row>
    <row r="519" spans="2:47" ht="16.2" customHeight="1" x14ac:dyDescent="0.3">
      <c r="B519" s="6" t="s">
        <v>292</v>
      </c>
      <c r="C519" s="22">
        <f t="shared" ref="C519:AG520" si="844">C490-C510</f>
        <v>-26.721</v>
      </c>
      <c r="D519" s="22">
        <f t="shared" si="844"/>
        <v>-9.6890000000000001</v>
      </c>
      <c r="E519" s="22">
        <f t="shared" si="844"/>
        <v>-27.263999999999999</v>
      </c>
      <c r="F519" s="22">
        <f t="shared" si="844"/>
        <v>-47.755108499999984</v>
      </c>
      <c r="G519" s="23">
        <f>G490-G510</f>
        <v>-111.42910849999997</v>
      </c>
      <c r="H519" s="22">
        <f t="shared" si="844"/>
        <v>-22.909999999999997</v>
      </c>
      <c r="I519" s="22">
        <f t="shared" si="844"/>
        <v>-38.131690039999988</v>
      </c>
      <c r="J519" s="22">
        <f t="shared" si="844"/>
        <v>-54.499535880000124</v>
      </c>
      <c r="K519" s="22">
        <f t="shared" si="844"/>
        <v>-59.000390660000093</v>
      </c>
      <c r="L519" s="23">
        <f>L490-L510</f>
        <v>-174.54161658000021</v>
      </c>
      <c r="M519" s="22">
        <f t="shared" si="844"/>
        <v>-44.857089699999982</v>
      </c>
      <c r="N519" s="22">
        <f t="shared" si="844"/>
        <v>-60.145000000000003</v>
      </c>
      <c r="O519" s="22">
        <f t="shared" si="844"/>
        <v>-58.781319050000029</v>
      </c>
      <c r="P519" s="22">
        <f t="shared" si="844"/>
        <v>-76.366</v>
      </c>
      <c r="Q519" s="23">
        <f>Q490-Q510</f>
        <v>-240.14940875000002</v>
      </c>
      <c r="R519" s="22">
        <f t="shared" si="844"/>
        <v>-57.854952340000004</v>
      </c>
      <c r="S519" s="22">
        <f t="shared" si="844"/>
        <v>-66.331999999999994</v>
      </c>
      <c r="T519" s="22">
        <f t="shared" si="844"/>
        <v>-69.141999999999996</v>
      </c>
      <c r="U519" s="22">
        <f t="shared" si="844"/>
        <v>-93.332376250000152</v>
      </c>
      <c r="V519" s="23">
        <f>V490-V510</f>
        <v>-286.66132859000015</v>
      </c>
      <c r="W519" s="22">
        <f t="shared" si="844"/>
        <v>-65.910136350000059</v>
      </c>
      <c r="X519" s="22">
        <f t="shared" si="844"/>
        <v>-84.516999999999996</v>
      </c>
      <c r="Y519" s="22">
        <f t="shared" si="844"/>
        <v>-90.405000000000001</v>
      </c>
      <c r="Z519" s="22">
        <f t="shared" si="844"/>
        <v>-118.12700055000003</v>
      </c>
      <c r="AA519" s="23">
        <f>AA490-AA510</f>
        <v>-358.95913690000015</v>
      </c>
      <c r="AB519" s="22">
        <f t="shared" si="844"/>
        <v>-82.463218960000091</v>
      </c>
      <c r="AC519" s="22">
        <f t="shared" si="844"/>
        <v>-102.75099999999999</v>
      </c>
      <c r="AD519" s="22">
        <f t="shared" si="844"/>
        <v>-126.11759786999997</v>
      </c>
      <c r="AE519" s="22">
        <f t="shared" si="844"/>
        <v>-131.97300000000001</v>
      </c>
      <c r="AF519" s="23">
        <f>AF490-AF510</f>
        <v>-443.30481683000005</v>
      </c>
      <c r="AG519" s="22">
        <f t="shared" si="844"/>
        <v>-100.39999999999999</v>
      </c>
      <c r="AH519" s="167"/>
      <c r="AI519" s="167"/>
      <c r="AJ519" s="167"/>
      <c r="AK519" s="62">
        <f>AK490-AK510</f>
        <v>-100.39999999999999</v>
      </c>
      <c r="AL519" s="171"/>
      <c r="AM519" s="171"/>
      <c r="AN519" s="171"/>
      <c r="AO519" s="171"/>
      <c r="AP519" s="171"/>
      <c r="AQ519" s="171"/>
      <c r="AR519" s="171"/>
      <c r="AS519" s="171"/>
      <c r="AT519" s="171"/>
      <c r="AU519" s="8" t="s">
        <v>29</v>
      </c>
    </row>
    <row r="520" spans="2:47" ht="16.2" customHeight="1" x14ac:dyDescent="0.3">
      <c r="B520" s="6" t="s">
        <v>293</v>
      </c>
      <c r="C520" s="22">
        <f t="shared" si="844"/>
        <v>-24.898</v>
      </c>
      <c r="D520" s="22">
        <f t="shared" si="844"/>
        <v>-14.406000000000002</v>
      </c>
      <c r="E520" s="22">
        <f t="shared" si="844"/>
        <v>-25.669999999999998</v>
      </c>
      <c r="F520" s="22">
        <f t="shared" si="844"/>
        <v>-39.466934159470995</v>
      </c>
      <c r="G520" s="23">
        <f>G491-G511</f>
        <v>-104.440934159471</v>
      </c>
      <c r="H520" s="22">
        <f t="shared" si="844"/>
        <v>-29.113</v>
      </c>
      <c r="I520" s="22">
        <f t="shared" si="844"/>
        <v>-36.716264759999959</v>
      </c>
      <c r="J520" s="22">
        <f t="shared" si="844"/>
        <v>-44.101063659931967</v>
      </c>
      <c r="K520" s="22">
        <f t="shared" si="844"/>
        <v>-48.663341002899934</v>
      </c>
      <c r="L520" s="23">
        <f>L491-L511</f>
        <v>-158.59366942283185</v>
      </c>
      <c r="M520" s="22">
        <f t="shared" si="844"/>
        <v>-38.097991849999929</v>
      </c>
      <c r="N520" s="22">
        <f t="shared" si="844"/>
        <v>-42.380251650000005</v>
      </c>
      <c r="O520" s="22">
        <f t="shared" si="844"/>
        <v>-45.374633509523967</v>
      </c>
      <c r="P520" s="22">
        <f t="shared" si="844"/>
        <v>-61.495478258077966</v>
      </c>
      <c r="Q520" s="23">
        <f>Q491-Q511</f>
        <v>-187.34835526760187</v>
      </c>
      <c r="R520" s="22">
        <f t="shared" si="844"/>
        <v>-46.006</v>
      </c>
      <c r="S520" s="22">
        <f t="shared" si="844"/>
        <v>-49.672000000000004</v>
      </c>
      <c r="T520" s="22">
        <f t="shared" si="844"/>
        <v>-53.847999999999992</v>
      </c>
      <c r="U520" s="22">
        <f t="shared" si="844"/>
        <v>-75.876999999999995</v>
      </c>
      <c r="V520" s="23">
        <f>V491-V511</f>
        <v>-225.40299999999999</v>
      </c>
      <c r="W520" s="22">
        <f t="shared" si="844"/>
        <v>-55.114999999999995</v>
      </c>
      <c r="X520" s="22">
        <f t="shared" si="844"/>
        <v>-63.304999999999993</v>
      </c>
      <c r="Y520" s="22">
        <f t="shared" si="844"/>
        <v>-69.697375280000003</v>
      </c>
      <c r="Z520" s="22">
        <f t="shared" si="844"/>
        <v>-92.195999999999998</v>
      </c>
      <c r="AA520" s="23">
        <f>AA491-AA511</f>
        <v>-280.31337528</v>
      </c>
      <c r="AB520" s="22">
        <f t="shared" si="844"/>
        <v>-72.22597917645497</v>
      </c>
      <c r="AC520" s="22">
        <f t="shared" si="844"/>
        <v>-80.662000000000006</v>
      </c>
      <c r="AD520" s="22">
        <f t="shared" si="844"/>
        <v>-87.259746536565046</v>
      </c>
      <c r="AE520" s="22">
        <f t="shared" si="844"/>
        <v>-107.428</v>
      </c>
      <c r="AF520" s="23">
        <f>AF491-AF511</f>
        <v>-347.57572571302001</v>
      </c>
      <c r="AG520" s="22">
        <f t="shared" si="844"/>
        <v>-86.444000000000003</v>
      </c>
      <c r="AH520" s="167"/>
      <c r="AI520" s="167"/>
      <c r="AJ520" s="167"/>
      <c r="AK520" s="62">
        <f>AK491-AK511</f>
        <v>-86.444000000000003</v>
      </c>
      <c r="AL520" s="171"/>
      <c r="AM520" s="171"/>
      <c r="AN520" s="171"/>
      <c r="AO520" s="171"/>
      <c r="AP520" s="171"/>
      <c r="AQ520" s="171"/>
      <c r="AR520" s="171"/>
      <c r="AS520" s="171"/>
      <c r="AT520" s="171"/>
      <c r="AU520" s="8" t="s">
        <v>29</v>
      </c>
    </row>
    <row r="521" spans="2:47" ht="7.95" customHeight="1" x14ac:dyDescent="0.3">
      <c r="G521" s="7"/>
      <c r="L521" s="7"/>
      <c r="Q521" s="7"/>
      <c r="V521" s="7"/>
      <c r="AA521" s="7"/>
      <c r="AF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8" t="s">
        <v>29</v>
      </c>
    </row>
    <row r="522" spans="2:47" ht="16.2" customHeight="1" x14ac:dyDescent="0.3">
      <c r="B522" s="41" t="s">
        <v>294</v>
      </c>
      <c r="C522" s="37" t="str">
        <f t="shared" ref="C522:AE522" si="845">IF(ABS(C495-SUM(C496:C507))&gt;0.1,"Erro","Ok")</f>
        <v>Ok</v>
      </c>
      <c r="D522" s="37" t="str">
        <f t="shared" si="845"/>
        <v>Ok</v>
      </c>
      <c r="E522" s="37" t="str">
        <f t="shared" si="845"/>
        <v>Ok</v>
      </c>
      <c r="F522" s="37" t="str">
        <f t="shared" si="845"/>
        <v>Ok</v>
      </c>
      <c r="G522" s="38" t="str">
        <f>IF(ABS(G495-SUM(G496:G507))&gt;0.1,"Erro","Ok")</f>
        <v>Ok</v>
      </c>
      <c r="H522" s="37" t="str">
        <f t="shared" si="845"/>
        <v>Ok</v>
      </c>
      <c r="I522" s="37" t="str">
        <f t="shared" si="845"/>
        <v>Ok</v>
      </c>
      <c r="J522" s="37" t="str">
        <f t="shared" si="845"/>
        <v>Ok</v>
      </c>
      <c r="K522" s="37" t="str">
        <f t="shared" si="845"/>
        <v>Ok</v>
      </c>
      <c r="L522" s="38" t="str">
        <f>IF(ABS(L495-SUM(L496:L507))&gt;0.1,"Erro","Ok")</f>
        <v>Ok</v>
      </c>
      <c r="M522" s="37" t="str">
        <f t="shared" si="845"/>
        <v>Ok</v>
      </c>
      <c r="N522" s="37" t="str">
        <f t="shared" si="845"/>
        <v>Ok</v>
      </c>
      <c r="O522" s="37" t="str">
        <f t="shared" si="845"/>
        <v>Ok</v>
      </c>
      <c r="P522" s="37" t="str">
        <f t="shared" si="845"/>
        <v>Ok</v>
      </c>
      <c r="Q522" s="38" t="str">
        <f>IF(ABS(Q495-SUM(Q496:Q507))&gt;0.1,"Erro","Ok")</f>
        <v>Ok</v>
      </c>
      <c r="R522" s="37" t="str">
        <f t="shared" si="845"/>
        <v>Ok</v>
      </c>
      <c r="S522" s="37" t="str">
        <f t="shared" si="845"/>
        <v>Ok</v>
      </c>
      <c r="T522" s="37" t="str">
        <f t="shared" si="845"/>
        <v>Ok</v>
      </c>
      <c r="U522" s="101" t="str">
        <f t="shared" si="845"/>
        <v>Erro</v>
      </c>
      <c r="V522" s="102" t="str">
        <f>IF(ABS(V495-SUM(V496:V507))&gt;0.1,"Erro","Ok")</f>
        <v>Erro</v>
      </c>
      <c r="W522" s="37" t="str">
        <f t="shared" si="845"/>
        <v>Ok</v>
      </c>
      <c r="X522" s="37" t="str">
        <f t="shared" si="845"/>
        <v>Ok</v>
      </c>
      <c r="Y522" s="37" t="str">
        <f t="shared" si="845"/>
        <v>Ok</v>
      </c>
      <c r="Z522" s="37" t="str">
        <f t="shared" si="845"/>
        <v>Ok</v>
      </c>
      <c r="AA522" s="38" t="str">
        <f>IF(ABS(AA495-SUM(AA496:AA507))&gt;0.1,"Erro","Ok")</f>
        <v>Ok</v>
      </c>
      <c r="AB522" s="37" t="str">
        <f t="shared" si="845"/>
        <v>Ok</v>
      </c>
      <c r="AC522" s="37" t="str">
        <f t="shared" si="845"/>
        <v>Ok</v>
      </c>
      <c r="AD522" s="37" t="str">
        <f t="shared" si="845"/>
        <v>Ok</v>
      </c>
      <c r="AE522" s="37" t="str">
        <f t="shared" si="845"/>
        <v>Ok</v>
      </c>
      <c r="AF522" s="38" t="str">
        <f>IF(ABS(AF495-SUM(AF496:AF507))&gt;0.1,"Erro","Ok")</f>
        <v>Ok</v>
      </c>
      <c r="AG522" s="37" t="str">
        <f>IF(ABS(AG495-SUM(AG496:AG507))&gt;0.1,"Erro","Ok")</f>
        <v>Ok</v>
      </c>
      <c r="AH522" s="167"/>
      <c r="AI522" s="167"/>
      <c r="AJ522" s="167"/>
      <c r="AK522" s="62"/>
      <c r="AL522" s="171"/>
      <c r="AM522" s="171"/>
      <c r="AN522" s="171"/>
      <c r="AO522" s="171"/>
      <c r="AP522" s="171"/>
      <c r="AQ522" s="171"/>
      <c r="AR522" s="171"/>
      <c r="AS522" s="171"/>
      <c r="AT522" s="171"/>
      <c r="AU522" s="8" t="s">
        <v>29</v>
      </c>
    </row>
    <row r="523" spans="2:47" ht="16.2" customHeight="1" x14ac:dyDescent="0.3">
      <c r="AU523" s="8"/>
    </row>
    <row r="524" spans="2:47" ht="16.2" customHeight="1" x14ac:dyDescent="0.3">
      <c r="AU524" s="8"/>
    </row>
    <row r="525" spans="2:47" ht="16.2" customHeight="1" x14ac:dyDescent="0.3">
      <c r="AU525" s="8"/>
    </row>
    <row r="526" spans="2:47" ht="16.2" customHeight="1" x14ac:dyDescent="0.3">
      <c r="AU526" s="8"/>
    </row>
    <row r="527" spans="2:47" ht="16.2" customHeight="1" x14ac:dyDescent="0.3">
      <c r="AU527" s="8"/>
    </row>
    <row r="528" spans="2:47" ht="16.2" customHeight="1" x14ac:dyDescent="0.3">
      <c r="AU52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DCF</vt:lpstr>
      <vt:lpstr>Modelo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CAFASSO</dc:creator>
  <cp:lastModifiedBy>ANTONIO CAFASSO</cp:lastModifiedBy>
  <dcterms:created xsi:type="dcterms:W3CDTF">2026-07-04T01:54:17Z</dcterms:created>
  <dcterms:modified xsi:type="dcterms:W3CDTF">2026-07-04T17:50:50Z</dcterms:modified>
</cp:coreProperties>
</file>